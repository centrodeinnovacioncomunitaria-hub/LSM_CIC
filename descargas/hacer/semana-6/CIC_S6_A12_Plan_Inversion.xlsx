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ómo usar" sheetId="1" state="visible" r:id="rId3"/>
    <sheet name="Plan de inversión" sheetId="2" state="visible" r:id="rId4"/>
    <sheet name="Utilidad y recuperació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<sst xmlns="http://schemas.openxmlformats.org/spreadsheetml/2006/main" count="78" uniqueCount="75">
  <si>
    <t xml:space="preserve">Plan de inversión simplificado (A12)</t>
  </si>
  <si>
    <t xml:space="preserve">Ruta HACER · Semana 6 · «Crecer con orden» · Centro de Innovación Comunitario · Red de Mujeres del Caribe</t>
  </si>
  <si>
    <t xml:space="preserve">Para qué sirve</t>
  </si>
  <si>
    <t xml:space="preserve">Para armar tu plan de inversión respondiendo cuatro preguntas: ¿qué voy a comprar y para qué?, ¿cuánto cuesta?, ¿de dónde sale la plata? y ¿en cuánto tiempo la recupero? La hoja hace las cuentas sola.</t>
  </si>
  <si>
    <t xml:space="preserve">Cómo se usa</t>
  </si>
  <si>
    <t xml:space="preserve">1. En la hoja «Plan de inversión», escribe cada cosa que vas a comprar, para qué la necesitas, la cantidad y el valor de cada una (de una cotización). El total se calcula solo.</t>
  </si>
  <si>
    <t xml:space="preserve">2. En la misma hoja, escribe cuánto sale de cada fuente: tu ahorro (bolsillo de crecimiento, cadena), un préstamo de la UMC si te vinculas, la dotación de activos del proyecto si tu negocio es priorizado u otra fuente. La hoja te dice si las fuentes cuadran con la inversión.</t>
  </si>
  <si>
    <t xml:space="preserve">3. En la hoja «Utilidad y recuperación», escribe lo que vas a vender de más gracias a la inversión: cantidad (por semana o por mes), precio y costo de cada unidad (tus cifras de la semana 4). La hoja calcula la utilidad adicional por semana.</t>
  </si>
  <si>
    <t xml:space="preserve">4. La hoja calcula en cuántas semanas y meses recuperas la inversión: inversión ÷ utilidad adicional por semana. Si vas a pedir prestado, escribe la cuota que acuerdes con el grupo para ver si cabe.</t>
  </si>
  <si>
    <t xml:space="preserve">Importante</t>
  </si>
  <si>
    <t xml:space="preserve">Las celdas con fondo crema y letra gris son un EJEMPLO (Marta, vendedora de jugos; caso ilustrativo). Bórralas antes de escribir tu propio plan.</t>
  </si>
  <si>
    <t xml:space="preserve">La recuperación se calcula con la UTILIDAD (precio − costo), no con las ventas. Un mes = 4 semanas de venta.</t>
  </si>
  <si>
    <t xml:space="preserve">La plata para invertir sale del bolsillo de crecimiento, nunca del fondo de emergencia. Este plan sirve de soporte si tu negocio es priorizado para la dotación de activos del proyecto; no es una promesa.</t>
  </si>
  <si>
    <t xml:space="preserve">Leyenda</t>
  </si>
  <si>
    <t xml:space="preserve">Celda amarilla = la llenas tú.   Celda blanca = se calcula sola, no la borres.</t>
  </si>
  <si>
    <t xml:space="preserve">Mi plan de inversión</t>
  </si>
  <si>
    <t xml:space="preserve">Nombre de la emprendedora:</t>
  </si>
  <si>
    <t xml:space="preserve">1. ¿Qué voy a comprar, para qué y cuánto cuesta?</t>
  </si>
  <si>
    <t xml:space="preserve">Qué voy a comprar</t>
  </si>
  <si>
    <t xml:space="preserve">Para qué: necesidad o venta que resuelve</t>
  </si>
  <si>
    <t xml:space="preserve">¿Activo productivo?</t>
  </si>
  <si>
    <t xml:space="preserve">Cantidad</t>
  </si>
  <si>
    <t xml:space="preserve">Valor unitario ($)</t>
  </si>
  <si>
    <t xml:space="preserve">Total ($)</t>
  </si>
  <si>
    <t xml:space="preserve">Licuadora industrial</t>
  </si>
  <si>
    <t xml:space="preserve">Preparar el plan semanal y los encargos sin descuidar la venta del colegio</t>
  </si>
  <si>
    <t xml:space="preserve">Sí</t>
  </si>
  <si>
    <t xml:space="preserve">Termo dispensador de 20 litros</t>
  </si>
  <si>
    <t xml:space="preserve">Entregar el pedido frío a las 9 a. m. y en los eventos</t>
  </si>
  <si>
    <t xml:space="preserve">Total de la inversión</t>
  </si>
  <si>
    <t xml:space="preserve">2. ¿De dónde sale la plata?</t>
  </si>
  <si>
    <t xml:space="preserve">Fuente</t>
  </si>
  <si>
    <t xml:space="preserve">Cuándo estará disponible</t>
  </si>
  <si>
    <t xml:space="preserve">Valor ($)</t>
  </si>
  <si>
    <t xml:space="preserve">Ahorro propio: bolsillo de crecimiento</t>
  </si>
  <si>
    <t xml:space="preserve">En unas seis semanas</t>
  </si>
  <si>
    <t xml:space="preserve">Ahorro propio: cadena, natillera u otro</t>
  </si>
  <si>
    <t xml:space="preserve">Cuando le llegue su turno en la cadena</t>
  </si>
  <si>
    <t xml:space="preserve">Préstamo de la UMC (si me vinculo)</t>
  </si>
  <si>
    <t xml:space="preserve">Según las reglas del grupo</t>
  </si>
  <si>
    <t xml:space="preserve">Dotación de activos del proyecto (si mi negocio es priorizado)</t>
  </si>
  <si>
    <t xml:space="preserve">Alternativa a la UMC para esos $300.000</t>
  </si>
  <si>
    <t xml:space="preserve">Otra fuente</t>
  </si>
  <si>
    <t xml:space="preserve">Total de las fuentes</t>
  </si>
  <si>
    <t xml:space="preserve">Diferencia (fuentes − inversión)</t>
  </si>
  <si>
    <t xml:space="preserve">¿Cuadran las fuentes con la inversión?</t>
  </si>
  <si>
    <t xml:space="preserve">Las celdas crema son el ejemplo de Marta: bórralas antes de empezar.</t>
  </si>
  <si>
    <t xml:space="preserve">Utilidad adicional y recuperación de la inversión</t>
  </si>
  <si>
    <t xml:space="preserve">Usa tus cifras de la semana 4: precio y costo de cada unidad. Si algo se vende por mes, la hoja lo pasa a la semana (1 mes = 4 semanas).</t>
  </si>
  <si>
    <t xml:space="preserve">3. ¿Cuánta utilidad adicional me va a dejar la inversión?</t>
  </si>
  <si>
    <t xml:space="preserve">Qué voy a vender de más</t>
  </si>
  <si>
    <t xml:space="preserve">¿Por semana o por mes?</t>
  </si>
  <si>
    <t xml:space="preserve">Precio de cada unidad ($)</t>
  </si>
  <si>
    <t xml:space="preserve">Costo de cada unidad ($)</t>
  </si>
  <si>
    <t xml:space="preserve">Margen por unidad ($)</t>
  </si>
  <si>
    <t xml:space="preserve">Cantidad por semana</t>
  </si>
  <si>
    <t xml:space="preserve">Utilidad por semana ($)</t>
  </si>
  <si>
    <t xml:space="preserve">Plan semanal: 5 jugos pequeños (costo = 5 × $1.550)</t>
  </si>
  <si>
    <t xml:space="preserve">semana</t>
  </si>
  <si>
    <t xml:space="preserve">Encargos para eventos: vasos grandes (2 encargos de 25 al mes)</t>
  </si>
  <si>
    <t xml:space="preserve">mes</t>
  </si>
  <si>
    <t xml:space="preserve">Gastos nuevos por semana que trae la inversión (−)</t>
  </si>
  <si>
    <t xml:space="preserve">Marta: $0, la energía ya está en sus costos indirectos.</t>
  </si>
  <si>
    <t xml:space="preserve">Utilidad adicional total por semana</t>
  </si>
  <si>
    <t xml:space="preserve">Ingreso adicional por semana (solo para información)</t>
  </si>
  <si>
    <t xml:space="preserve">4. ¿En cuánto tiempo recupero la inversión?</t>
  </si>
  <si>
    <t xml:space="preserve">Inversión total (de la hoja «Plan de inversión»)</t>
  </si>
  <si>
    <t xml:space="preserve">Recuperación en semanas (inversión ÷ utilidad adicional)</t>
  </si>
  <si>
    <t xml:space="preserve">Recuperación en semanas, redondeada</t>
  </si>
  <si>
    <t xml:space="preserve">Recuperación en meses (1 mes = 4 semanas)</t>
  </si>
  <si>
    <t xml:space="preserve">En palabras</t>
  </si>
  <si>
    <t xml:space="preserve">¿Es razonable?</t>
  </si>
  <si>
    <t xml:space="preserve">Si pido prestado (por ejemplo, a la UMC)</t>
  </si>
  <si>
    <t xml:space="preserve">Cuota semanal que acordé con el grupo ($)</t>
  </si>
  <si>
    <t xml:space="preserve">¿La cuota cabe?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</si>
</sst>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$ &quot;#,##0;&quot;-$ &quot;#,##0;\-"/>
    <numFmt numFmtId="166" formatCode="#,##0.0"/>
    <numFmt numFmtId="167" formatCode="0.0"/>
    <numFmt numFmtId="168" formatCode="0"/>
    <numFmt numFmtId="169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C48"/>
      <name val="Arial"/>
      <family val="0"/>
      <charset val="1"/>
    </font>
    <font>
      <sz val="10"/>
      <color rgb="FF5A6B70"/>
      <name val="Arial"/>
      <family val="0"/>
      <charset val="1"/>
    </font>
    <font>
      <b val="true"/>
      <sz val="12"/>
      <color rgb="FF2E6E82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E167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173C48"/>
      <name val="Arial"/>
      <family val="0"/>
      <charset val="1"/>
    </font>
    <font>
      <b val="true"/>
      <sz val="11"/>
      <color rgb="FF2E6E8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A6B70"/>
      <name val="Arial"/>
      <family val="0"/>
      <charset val="1"/>
    </font>
    <font>
      <b val="true"/>
      <sz val="10"/>
      <color rgb="FF173C48"/>
      <name val="Arial"/>
      <family val="0"/>
      <charset val="1"/>
    </font>
    <font>
      <i val="true"/>
      <sz val="9"/>
      <color rgb="FFE1673C"/>
      <name val="Arial"/>
      <family val="0"/>
      <charset val="1"/>
    </font>
    <font>
      <i val="true"/>
      <sz val="9"/>
      <color rgb="FF5A6B7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73C4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4CC"/>
        <bgColor rgb="FFF6F1E7"/>
      </patternFill>
    </fill>
    <fill>
      <patternFill patternType="solid">
        <fgColor rgb="FF173C48"/>
        <bgColor rgb="FF333333"/>
      </patternFill>
    </fill>
    <fill>
      <patternFill patternType="solid">
        <fgColor rgb="FFF6F1E7"/>
        <bgColor rgb="FFFFF4CC"/>
      </patternFill>
    </fill>
    <fill>
      <patternFill patternType="solid">
        <fgColor rgb="FFF7E6C4"/>
        <bgColor rgb="FFFFF4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/>
      <top style="thin">
        <color rgb="FFD9D2C3"/>
      </top>
      <bottom style="thin">
        <color rgb="FFD9D2C3"/>
      </bottom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4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2"/>
      <rgbColor rgb="FFD9D2C3"/>
      <rgbColor rgb="FF808080"/>
      <rgbColor rgb="FF9999FF"/>
      <rgbColor rgb="FF993366"/>
      <rgbColor rgb="FFFFF4CC"/>
      <rgbColor rgb="FFF6F1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7E6C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1673C"/>
      <rgbColor rgb="FF5A6B70"/>
      <rgbColor rgb="FF969696"/>
      <rgbColor rgb="FF173C4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1673C"/>
    <pageSetUpPr fitToPage="false"/>
  </sheetPr>
  <dimension ref="B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1" customFormat="false" ht="19.7" hidden="false" customHeight="false" outlineLevel="0" collapsed="false">
      <c r="B1" s="2" t="s">
        <v>0</v>
      </c>
    </row>
    <row r="2" customFormat="false" ht="15" hidden="false" customHeight="false" outlineLevel="0" collapsed="false">
      <c r="B2" s="3" t="s">
        <v>1</v>
      </c>
    </row>
    <row r="3" customFormat="false" ht="15" hidden="false" customHeight="false" outlineLevel="0" collapsed="false">
      <c r="B3" s="4"/>
    </row>
    <row r="4" customFormat="false" ht="15" hidden="false" customHeight="false" outlineLevel="0" collapsed="false">
      <c r="B4" s="5" t="s">
        <v>2</v>
      </c>
    </row>
    <row r="5" customFormat="false" ht="23.85" hidden="false" customHeight="false" outlineLevel="0" collapsed="false">
      <c r="B5" s="6" t="s">
        <v>3</v>
      </c>
    </row>
    <row r="6" customFormat="false" ht="15" hidden="false" customHeight="false" outlineLevel="0" collapsed="false">
      <c r="B6" s="4"/>
    </row>
    <row r="7" customFormat="false" ht="15" hidden="false" customHeight="false" outlineLevel="0" collapsed="false">
      <c r="B7" s="5" t="s">
        <v>4</v>
      </c>
    </row>
    <row r="8" customFormat="false" ht="23.85" hidden="false" customHeight="false" outlineLevel="0" collapsed="false">
      <c r="B8" s="6" t="s">
        <v>5</v>
      </c>
    </row>
    <row r="9" customFormat="false" ht="35.05" hidden="false" customHeight="false" outlineLevel="0" collapsed="false">
      <c r="B9" s="6" t="s">
        <v>6</v>
      </c>
    </row>
    <row r="10" customFormat="false" ht="23.85" hidden="false" customHeight="false" outlineLevel="0" collapsed="false">
      <c r="B10" s="6" t="s">
        <v>7</v>
      </c>
    </row>
    <row r="11" customFormat="false" ht="23.85" hidden="false" customHeight="false" outlineLevel="0" collapsed="false">
      <c r="B11" s="6" t="s">
        <v>8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7" t="s">
        <v>9</v>
      </c>
    </row>
    <row r="14" customFormat="false" ht="23.85" hidden="false" customHeight="false" outlineLevel="0" collapsed="false">
      <c r="B14" s="8" t="s">
        <v>10</v>
      </c>
    </row>
    <row r="15" customFormat="false" ht="15" hidden="false" customHeight="false" outlineLevel="0" collapsed="false">
      <c r="B15" s="6" t="s">
        <v>11</v>
      </c>
    </row>
    <row r="16" customFormat="false" ht="23.85" hidden="false" customHeight="false" outlineLevel="0" collapsed="false">
      <c r="B16" s="9" t="s">
        <v>12</v>
      </c>
    </row>
    <row r="17" customFormat="false" ht="15" hidden="false" customHeight="false" outlineLevel="0" collapsed="false">
      <c r="B17" s="4"/>
    </row>
    <row r="18" customFormat="false" ht="1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1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C48"/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6" min="5" style="1" width="17"/>
  </cols>
  <sheetData>
    <row r="1" customFormat="false" ht="17.35" hidden="false" customHeight="false" outlineLevel="0" collapsed="false">
      <c r="A1" s="11" t="s">
        <v>15</v>
      </c>
    </row>
    <row r="2" customFormat="false" ht="15" hidden="false" customHeight="false" outlineLevel="0" collapsed="false">
      <c r="A2" s="12" t="s">
        <v>16</v>
      </c>
      <c r="C2" s="13"/>
      <c r="D2" s="13"/>
      <c r="E2" s="13"/>
    </row>
    <row r="3" customFormat="false" ht="15" hidden="false" customHeight="false" outlineLevel="0" collapsed="false">
      <c r="A3" s="14" t="s">
        <v>17</v>
      </c>
    </row>
    <row r="4" customFormat="false" ht="31.5" hidden="false" customHeight="true" outlineLevel="0" collapsed="false">
      <c r="A4" s="15" t="s">
        <v>18</v>
      </c>
      <c r="B4" s="15" t="s">
        <v>19</v>
      </c>
      <c r="C4" s="15" t="s">
        <v>20</v>
      </c>
      <c r="D4" s="15" t="s">
        <v>21</v>
      </c>
      <c r="E4" s="15" t="s">
        <v>22</v>
      </c>
      <c r="F4" s="15" t="s">
        <v>23</v>
      </c>
    </row>
    <row r="5" customFormat="false" ht="27.75" hidden="false" customHeight="true" outlineLevel="0" collapsed="false">
      <c r="A5" s="16" t="s">
        <v>24</v>
      </c>
      <c r="B5" s="16" t="s">
        <v>25</v>
      </c>
      <c r="C5" s="16" t="s">
        <v>26</v>
      </c>
      <c r="D5" s="16" t="n">
        <v>1</v>
      </c>
      <c r="E5" s="17" t="n">
        <v>450000</v>
      </c>
      <c r="F5" s="18" t="n">
        <f aca="false">IF(OR(D5="",E5=""),"",D5*E5)</f>
        <v>450000</v>
      </c>
    </row>
    <row r="6" customFormat="false" ht="27.75" hidden="false" customHeight="true" outlineLevel="0" collapsed="false">
      <c r="A6" s="16" t="s">
        <v>27</v>
      </c>
      <c r="B6" s="16" t="s">
        <v>28</v>
      </c>
      <c r="C6" s="16" t="s">
        <v>26</v>
      </c>
      <c r="D6" s="16" t="n">
        <v>1</v>
      </c>
      <c r="E6" s="17" t="n">
        <v>150000</v>
      </c>
      <c r="F6" s="18" t="n">
        <f aca="false">IF(OR(D6="",E6=""),"",D6*E6)</f>
        <v>150000</v>
      </c>
    </row>
    <row r="7" customFormat="false" ht="15" hidden="false" customHeight="false" outlineLevel="0" collapsed="false">
      <c r="A7" s="19"/>
      <c r="B7" s="19"/>
      <c r="C7" s="19"/>
      <c r="D7" s="19"/>
      <c r="E7" s="20"/>
      <c r="F7" s="18" t="str">
        <f aca="false">IF(OR(D7="",E7=""),"",D7*E7)</f>
        <v/>
      </c>
    </row>
    <row r="8" customFormat="false" ht="15" hidden="false" customHeight="false" outlineLevel="0" collapsed="false">
      <c r="A8" s="19"/>
      <c r="B8" s="19"/>
      <c r="C8" s="19"/>
      <c r="D8" s="19"/>
      <c r="E8" s="20"/>
      <c r="F8" s="18" t="str">
        <f aca="false">IF(OR(D8="",E8=""),"",D8*E8)</f>
        <v/>
      </c>
    </row>
    <row r="9" customFormat="false" ht="15" hidden="false" customHeight="false" outlineLevel="0" collapsed="false">
      <c r="A9" s="19"/>
      <c r="B9" s="19"/>
      <c r="C9" s="19"/>
      <c r="D9" s="19"/>
      <c r="E9" s="20"/>
      <c r="F9" s="18" t="str">
        <f aca="false">IF(OR(D9="",E9=""),"",D9*E9)</f>
        <v/>
      </c>
    </row>
    <row r="10" customFormat="false" ht="15" hidden="false" customHeight="false" outlineLevel="0" collapsed="false">
      <c r="A10" s="19"/>
      <c r="B10" s="19"/>
      <c r="C10" s="19"/>
      <c r="D10" s="19"/>
      <c r="E10" s="20"/>
      <c r="F10" s="18" t="str">
        <f aca="false">IF(OR(D10="",E10=""),"",D10*E10)</f>
        <v/>
      </c>
    </row>
    <row r="11" customFormat="false" ht="15" hidden="false" customHeight="false" outlineLevel="0" collapsed="false">
      <c r="A11" s="19"/>
      <c r="B11" s="19"/>
      <c r="C11" s="19"/>
      <c r="D11" s="19"/>
      <c r="E11" s="20"/>
      <c r="F11" s="18" t="str">
        <f aca="false">IF(OR(D11="",E11=""),"",D11*E11)</f>
        <v/>
      </c>
    </row>
    <row r="12" customFormat="false" ht="15" hidden="false" customHeight="false" outlineLevel="0" collapsed="false">
      <c r="A12" s="19"/>
      <c r="B12" s="19"/>
      <c r="C12" s="19"/>
      <c r="D12" s="19"/>
      <c r="E12" s="20"/>
      <c r="F12" s="18" t="str">
        <f aca="false">IF(OR(D12="",E12=""),"",D12*E12)</f>
        <v/>
      </c>
    </row>
    <row r="13" customFormat="false" ht="15" hidden="false" customHeight="false" outlineLevel="0" collapsed="false">
      <c r="A13" s="19"/>
      <c r="B13" s="19"/>
      <c r="C13" s="19"/>
      <c r="D13" s="19"/>
      <c r="E13" s="20"/>
      <c r="F13" s="18" t="str">
        <f aca="false">IF(OR(D13="",E13=""),"",D13*E13)</f>
        <v/>
      </c>
    </row>
    <row r="14" customFormat="false" ht="15" hidden="false" customHeight="false" outlineLevel="0" collapsed="false">
      <c r="A14" s="19"/>
      <c r="B14" s="19"/>
      <c r="C14" s="19"/>
      <c r="D14" s="19"/>
      <c r="E14" s="20"/>
      <c r="F14" s="18" t="str">
        <f aca="false">IF(OR(D14="",E14=""),"",D14*E14)</f>
        <v/>
      </c>
    </row>
    <row r="15" customFormat="false" ht="15" hidden="false" customHeight="false" outlineLevel="0" collapsed="false">
      <c r="A15" s="21" t="s">
        <v>29</v>
      </c>
      <c r="B15" s="21"/>
      <c r="C15" s="21"/>
      <c r="D15" s="21"/>
      <c r="E15" s="21"/>
      <c r="F15" s="22" t="n">
        <f aca="false">SUM(F5:F14)</f>
        <v>600000</v>
      </c>
    </row>
    <row r="17" customFormat="false" ht="15" hidden="false" customHeight="false" outlineLevel="0" collapsed="false">
      <c r="A17" s="14" t="s">
        <v>30</v>
      </c>
    </row>
    <row r="18" customFormat="false" ht="31.5" hidden="false" customHeight="true" outlineLevel="0" collapsed="false">
      <c r="A18" s="15" t="s">
        <v>31</v>
      </c>
      <c r="B18" s="15" t="s">
        <v>32</v>
      </c>
      <c r="C18" s="15"/>
      <c r="D18" s="15"/>
      <c r="E18" s="15" t="s">
        <v>33</v>
      </c>
    </row>
    <row r="19" customFormat="false" ht="27.75" hidden="false" customHeight="true" outlineLevel="0" collapsed="false">
      <c r="A19" s="23" t="s">
        <v>34</v>
      </c>
      <c r="B19" s="16" t="s">
        <v>35</v>
      </c>
      <c r="C19" s="16"/>
      <c r="D19" s="16"/>
      <c r="E19" s="17" t="n">
        <v>100000</v>
      </c>
    </row>
    <row r="20" customFormat="false" ht="27.75" hidden="false" customHeight="true" outlineLevel="0" collapsed="false">
      <c r="A20" s="23" t="s">
        <v>36</v>
      </c>
      <c r="B20" s="16" t="s">
        <v>37</v>
      </c>
      <c r="C20" s="16"/>
      <c r="D20" s="16"/>
      <c r="E20" s="17" t="n">
        <v>200000</v>
      </c>
    </row>
    <row r="21" customFormat="false" ht="27.75" hidden="false" customHeight="true" outlineLevel="0" collapsed="false">
      <c r="A21" s="23" t="s">
        <v>38</v>
      </c>
      <c r="B21" s="16" t="s">
        <v>39</v>
      </c>
      <c r="C21" s="16"/>
      <c r="D21" s="16"/>
      <c r="E21" s="17" t="n">
        <v>300000</v>
      </c>
    </row>
    <row r="22" customFormat="false" ht="27.75" hidden="false" customHeight="true" outlineLevel="0" collapsed="false">
      <c r="A22" s="23" t="s">
        <v>40</v>
      </c>
      <c r="B22" s="16" t="s">
        <v>41</v>
      </c>
      <c r="C22" s="16"/>
      <c r="D22" s="16"/>
      <c r="E22" s="20"/>
    </row>
    <row r="23" customFormat="false" ht="27.75" hidden="false" customHeight="true" outlineLevel="0" collapsed="false">
      <c r="A23" s="23" t="s">
        <v>42</v>
      </c>
      <c r="B23" s="19"/>
      <c r="C23" s="19"/>
      <c r="D23" s="19"/>
      <c r="E23" s="20"/>
    </row>
    <row r="24" customFormat="false" ht="15" hidden="false" customHeight="false" outlineLevel="0" collapsed="false">
      <c r="A24" s="21" t="s">
        <v>43</v>
      </c>
      <c r="B24" s="21"/>
      <c r="C24" s="21"/>
      <c r="D24" s="21"/>
      <c r="E24" s="22" t="n">
        <f aca="false">SUM(E19:E23)</f>
        <v>600000</v>
      </c>
    </row>
    <row r="25" customFormat="false" ht="15" hidden="false" customHeight="false" outlineLevel="0" collapsed="false">
      <c r="A25" s="24" t="s">
        <v>44</v>
      </c>
      <c r="E25" s="25" t="n">
        <f aca="false">E24-F15</f>
        <v>0</v>
      </c>
    </row>
    <row r="26" customFormat="false" ht="15" hidden="false" customHeight="false" outlineLevel="0" collapsed="false">
      <c r="A26" s="24" t="s">
        <v>45</v>
      </c>
      <c r="B26" s="26" t="str">
        <f aca="false">IF(F15=0,"Escribe primero lo que vas a comprar",IF(E24=F15,"Sí: las fuentes cuadran con la inversión",IF(E24&lt;F15,"No: falta plata; ajusta la compra o busca otra fuente","No: las fuentes pasan la inversión; ajusta los valores")))</f>
        <v>Sí: las fuentes cuadran con la inversión</v>
      </c>
      <c r="C26" s="26"/>
      <c r="D26" s="26"/>
      <c r="E26" s="26"/>
    </row>
    <row r="28" customFormat="false" ht="15" hidden="false" customHeight="false" outlineLevel="0" collapsed="false">
      <c r="A28" s="27" t="s">
        <v>46</v>
      </c>
    </row>
  </sheetData>
  <mergeCells count="8">
    <mergeCell ref="C2:E2"/>
    <mergeCell ref="B18:D18"/>
    <mergeCell ref="B19:D19"/>
    <mergeCell ref="B20:D20"/>
    <mergeCell ref="B21:D21"/>
    <mergeCell ref="B22:D22"/>
    <mergeCell ref="B23:D23"/>
    <mergeCell ref="B26:E26"/>
  </mergeCells>
  <dataValidations count="2">
    <dataValidation allowBlank="true" errorStyle="stop" operator="between" showDropDown="false" showErrorMessage="false" showInputMessage="false" sqref="C5:C14" type="list">
      <formula1>"Sí,No"</formula1>
      <formula2>0</formula2>
    </dataValidation>
    <dataValidation allowBlank="true" error="Escribe un número, sin signos" errorStyle="stop" errorTitle="Valor" operator="greaterThanOrEqual" showDropDown="false" showErrorMessage="false" showInputMessage="false" sqref="B5:B12 D5:E14 E19:E23 B27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E82"/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7"/>
  </cols>
  <sheetData>
    <row r="1" customFormat="false" ht="17.35" hidden="false" customHeight="false" outlineLevel="0" collapsed="false">
      <c r="A1" s="11" t="s">
        <v>47</v>
      </c>
    </row>
    <row r="2" customFormat="false" ht="15" hidden="false" customHeight="false" outlineLevel="0" collapsed="false">
      <c r="A2" s="28" t="s">
        <v>48</v>
      </c>
    </row>
    <row r="3" customFormat="false" ht="15" hidden="false" customHeight="false" outlineLevel="0" collapsed="false">
      <c r="A3" s="14" t="s">
        <v>49</v>
      </c>
    </row>
    <row r="4" customFormat="false" ht="43.5" hidden="false" customHeight="true" outlineLevel="0" collapsed="false">
      <c r="A4" s="15" t="s">
        <v>50</v>
      </c>
      <c r="B4" s="15" t="s">
        <v>21</v>
      </c>
      <c r="C4" s="15" t="s">
        <v>51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</row>
    <row r="5" customFormat="false" ht="27.75" hidden="false" customHeight="true" outlineLevel="0" collapsed="false">
      <c r="A5" s="16" t="s">
        <v>57</v>
      </c>
      <c r="B5" s="16" t="n">
        <v>7</v>
      </c>
      <c r="C5" s="16" t="s">
        <v>58</v>
      </c>
      <c r="D5" s="17" t="n">
        <v>9500</v>
      </c>
      <c r="E5" s="17" t="n">
        <f aca="false">5*1550</f>
        <v>7750</v>
      </c>
      <c r="F5" s="18" t="n">
        <f aca="false">IF(OR(D5="",E5=""),"",D5-E5)</f>
        <v>1750</v>
      </c>
      <c r="G5" s="29" t="n">
        <f aca="false">IF(B5="","",IF(C5="mes",B5/4,B5))</f>
        <v>7</v>
      </c>
      <c r="H5" s="18" t="n">
        <f aca="false">IF(OR(F5="",G5=""),"",F5*G5)</f>
        <v>12250</v>
      </c>
    </row>
    <row r="6" customFormat="false" ht="27.75" hidden="false" customHeight="true" outlineLevel="0" collapsed="false">
      <c r="A6" s="16" t="s">
        <v>59</v>
      </c>
      <c r="B6" s="16" t="n">
        <v>50</v>
      </c>
      <c r="C6" s="16" t="s">
        <v>60</v>
      </c>
      <c r="D6" s="17" t="n">
        <v>4000</v>
      </c>
      <c r="E6" s="17" t="n">
        <v>3100</v>
      </c>
      <c r="F6" s="18" t="n">
        <f aca="false">IF(OR(D6="",E6=""),"",D6-E6)</f>
        <v>900</v>
      </c>
      <c r="G6" s="29" t="n">
        <f aca="false">IF(B6="","",IF(C6="mes",B6/4,B6))</f>
        <v>12.5</v>
      </c>
      <c r="H6" s="18" t="n">
        <f aca="false">IF(OR(F6="",G6=""),"",F6*G6)</f>
        <v>11250</v>
      </c>
    </row>
    <row r="7" customFormat="false" ht="15" hidden="false" customHeight="false" outlineLevel="0" collapsed="false">
      <c r="A7" s="19"/>
      <c r="B7" s="19"/>
      <c r="C7" s="19"/>
      <c r="D7" s="20"/>
      <c r="E7" s="20"/>
      <c r="F7" s="18" t="str">
        <f aca="false">IF(OR(D7="",E7=""),"",D7-E7)</f>
        <v/>
      </c>
      <c r="G7" s="29" t="str">
        <f aca="false">IF(B7="","",IF(C7="mes",B7/4,B7))</f>
        <v/>
      </c>
      <c r="H7" s="18" t="str">
        <f aca="false">IF(OR(F7="",G7=""),"",F7*G7)</f>
        <v/>
      </c>
    </row>
    <row r="8" customFormat="false" ht="15" hidden="false" customHeight="false" outlineLevel="0" collapsed="false">
      <c r="A8" s="19"/>
      <c r="B8" s="19"/>
      <c r="C8" s="19"/>
      <c r="D8" s="20"/>
      <c r="E8" s="20"/>
      <c r="F8" s="18" t="str">
        <f aca="false">IF(OR(D8="",E8=""),"",D8-E8)</f>
        <v/>
      </c>
      <c r="G8" s="29" t="str">
        <f aca="false">IF(B8="","",IF(C8="mes",B8/4,B8))</f>
        <v/>
      </c>
      <c r="H8" s="18" t="str">
        <f aca="false">IF(OR(F8="",G8=""),"",F8*G8)</f>
        <v/>
      </c>
    </row>
    <row r="9" customFormat="false" ht="15" hidden="false" customHeight="false" outlineLevel="0" collapsed="false">
      <c r="A9" s="19"/>
      <c r="B9" s="19"/>
      <c r="C9" s="19"/>
      <c r="D9" s="20"/>
      <c r="E9" s="20"/>
      <c r="F9" s="18" t="str">
        <f aca="false">IF(OR(D9="",E9=""),"",D9-E9)</f>
        <v/>
      </c>
      <c r="G9" s="29" t="str">
        <f aca="false">IF(B9="","",IF(C9="mes",B9/4,B9))</f>
        <v/>
      </c>
      <c r="H9" s="18" t="str">
        <f aca="false">IF(OR(F9="",G9=""),"",F9*G9)</f>
        <v/>
      </c>
    </row>
    <row r="10" customFormat="false" ht="15" hidden="false" customHeight="false" outlineLevel="0" collapsed="false">
      <c r="A10" s="19"/>
      <c r="B10" s="19"/>
      <c r="C10" s="19"/>
      <c r="D10" s="20"/>
      <c r="E10" s="20"/>
      <c r="F10" s="18" t="str">
        <f aca="false">IF(OR(D10="",E10=""),"",D10-E10)</f>
        <v/>
      </c>
      <c r="G10" s="29" t="str">
        <f aca="false">IF(B10="","",IF(C10="mes",B10/4,B10))</f>
        <v/>
      </c>
      <c r="H10" s="18" t="str">
        <f aca="false">IF(OR(F10="",G10=""),"",F10*G10)</f>
        <v/>
      </c>
    </row>
    <row r="11" customFormat="false" ht="15" hidden="false" customHeight="false" outlineLevel="0" collapsed="false">
      <c r="A11" s="19"/>
      <c r="B11" s="19"/>
      <c r="C11" s="19"/>
      <c r="D11" s="20"/>
      <c r="E11" s="20"/>
      <c r="F11" s="18" t="str">
        <f aca="false">IF(OR(D11="",E11=""),"",D11-E11)</f>
        <v/>
      </c>
      <c r="G11" s="29" t="str">
        <f aca="false">IF(B11="","",IF(C11="mes",B11/4,B11))</f>
        <v/>
      </c>
      <c r="H11" s="18" t="str">
        <f aca="false">IF(OR(F11="",G11=""),"",F11*G11)</f>
        <v/>
      </c>
    </row>
    <row r="12" customFormat="false" ht="15" hidden="false" customHeight="false" outlineLevel="0" collapsed="false">
      <c r="A12" s="19"/>
      <c r="B12" s="19"/>
      <c r="C12" s="19"/>
      <c r="D12" s="20"/>
      <c r="E12" s="20"/>
      <c r="F12" s="18" t="str">
        <f aca="false">IF(OR(D12="",E12=""),"",D12-E12)</f>
        <v/>
      </c>
      <c r="G12" s="29" t="str">
        <f aca="false">IF(B12="","",IF(C12="mes",B12/4,B12))</f>
        <v/>
      </c>
      <c r="H12" s="18" t="str">
        <f aca="false">IF(OR(F12="",G12=""),"",F12*G12)</f>
        <v/>
      </c>
    </row>
    <row r="14" customFormat="false" ht="15" hidden="false" customHeight="false" outlineLevel="0" collapsed="false">
      <c r="A14" s="30" t="s">
        <v>61</v>
      </c>
      <c r="B14" s="31" t="n">
        <v>0</v>
      </c>
      <c r="C14" s="31"/>
      <c r="D14" s="31"/>
      <c r="E14" s="32" t="s">
        <v>62</v>
      </c>
    </row>
    <row r="15" customFormat="false" ht="15" hidden="false" customHeight="false" outlineLevel="0" collapsed="false">
      <c r="A15" s="21" t="s">
        <v>63</v>
      </c>
      <c r="B15" s="33" t="n">
        <f aca="false">SUM(H5:H12)-B14</f>
        <v>23500</v>
      </c>
      <c r="C15" s="33"/>
      <c r="D15" s="33"/>
    </row>
    <row r="16" customFormat="false" ht="15" hidden="false" customHeight="false" outlineLevel="0" collapsed="false">
      <c r="A16" s="30" t="s">
        <v>64</v>
      </c>
      <c r="B16" s="34" t="n">
        <f aca="false">SUMPRODUCT(D5:D12,G5:G12)</f>
        <v>116500</v>
      </c>
      <c r="C16" s="34"/>
      <c r="D16" s="34"/>
    </row>
    <row r="18" customFormat="false" ht="15" hidden="false" customHeight="false" outlineLevel="0" collapsed="false">
      <c r="A18" s="14" t="s">
        <v>65</v>
      </c>
    </row>
    <row r="19" customFormat="false" ht="15" hidden="false" customHeight="false" outlineLevel="0" collapsed="false">
      <c r="A19" s="30" t="s">
        <v>66</v>
      </c>
      <c r="B19" s="34" t="n">
        <f aca="false">'Plan de inversión'!$F$15</f>
        <v>600000</v>
      </c>
      <c r="C19" s="34"/>
      <c r="D19" s="34"/>
    </row>
    <row r="20" customFormat="false" ht="15" hidden="false" customHeight="false" outlineLevel="0" collapsed="false">
      <c r="A20" s="21" t="s">
        <v>67</v>
      </c>
      <c r="B20" s="35" t="n">
        <f aca="false">IF(B15&lt;=0,"Sin utilidad adicional: revisa",IFERROR(B19/B15,"—"))</f>
        <v>25.531914893617</v>
      </c>
      <c r="C20" s="35"/>
      <c r="D20" s="35"/>
    </row>
    <row r="21" customFormat="false" ht="15" hidden="false" customHeight="false" outlineLevel="0" collapsed="false">
      <c r="A21" s="30" t="s">
        <v>68</v>
      </c>
      <c r="B21" s="36" t="n">
        <f aca="false">IFERROR(ROUNDUP(B20,0),"—")</f>
        <v>26</v>
      </c>
      <c r="C21" s="36"/>
      <c r="D21" s="36"/>
    </row>
    <row r="22" customFormat="false" ht="15" hidden="false" customHeight="false" outlineLevel="0" collapsed="false">
      <c r="A22" s="21" t="s">
        <v>69</v>
      </c>
      <c r="B22" s="35" t="n">
        <f aca="false">IFERROR(B20/4,"—")</f>
        <v>6.38297872340426</v>
      </c>
      <c r="C22" s="35"/>
      <c r="D22" s="35"/>
    </row>
    <row r="23" customFormat="false" ht="15" hidden="false" customHeight="false" outlineLevel="0" collapsed="false">
      <c r="A23" s="30" t="s">
        <v>70</v>
      </c>
      <c r="B23" s="37" t="str">
        <f aca="false">IFERROR("Unas "&amp;ROUNDUP(B20,0)&amp;" semanas: unos "&amp;ROUND(B20/4,0)&amp;" meses","—")</f>
        <v>Unas 26 semanas: unos 6 meses</v>
      </c>
      <c r="C23" s="37"/>
      <c r="D23" s="37"/>
    </row>
    <row r="24" customFormat="false" ht="15" hidden="false" customHeight="false" outlineLevel="0" collapsed="false">
      <c r="A24" s="30" t="s">
        <v>71</v>
      </c>
      <c r="B24" s="37" t="str">
        <f aca="false">IFERROR(IF(B22&lt;=6,"Menos de 6 meses: muy bien",IF(B22&lt;=12,"Entre 6 y 12 meses: razonable","Más de 12 meses: revisa el monto, hazlo por etapas o busca una opción más barata")),"—")</f>
        <v>Entre 6 y 12 meses: razonable</v>
      </c>
      <c r="C24" s="37"/>
      <c r="D24" s="37"/>
    </row>
    <row r="26" customFormat="false" ht="15" hidden="false" customHeight="false" outlineLevel="0" collapsed="false">
      <c r="A26" s="14" t="s">
        <v>72</v>
      </c>
    </row>
    <row r="27" customFormat="false" ht="15" hidden="false" customHeight="false" outlineLevel="0" collapsed="false">
      <c r="A27" s="30" t="s">
        <v>73</v>
      </c>
      <c r="B27" s="38"/>
      <c r="C27" s="38"/>
      <c r="D27" s="38"/>
    </row>
    <row r="28" customFormat="false" ht="27.75" hidden="false" customHeight="true" outlineLevel="0" collapsed="false">
      <c r="A28" s="30" t="s">
        <v>74</v>
      </c>
      <c r="B28" s="39" t="str">
        <f aca="false">IF(B27="","Escribe la cuota cuando la acuerdes con el grupo (la define el grupo con sus reglas)",IF(B27&lt;=B15,"Sí: la cuota cabe en la utilidad adicional; revisa también tu semana más apretada","No: la cuota es mayor que la utilidad adicional; reduce el monto prestado"))</f>
        <v>Escribe la cuota cuando la acuerdes con el grupo (la define el grupo con sus reglas)</v>
      </c>
      <c r="C28" s="39"/>
      <c r="D28" s="39"/>
    </row>
    <row r="30" customFormat="false" ht="15" hidden="false" customHeight="false" outlineLevel="0" collapsed="false">
      <c r="A30" s="27" t="s">
        <v>46</v>
      </c>
    </row>
  </sheetData>
  <mergeCells count="11">
    <mergeCell ref="B14:D14"/>
    <mergeCell ref="B15:D15"/>
    <mergeCell ref="B16:D16"/>
    <mergeCell ref="B19:D19"/>
    <mergeCell ref="B20:D20"/>
    <mergeCell ref="B21:D21"/>
    <mergeCell ref="B22:D22"/>
    <mergeCell ref="B23:D23"/>
    <mergeCell ref="B24:D24"/>
    <mergeCell ref="B27:D27"/>
    <mergeCell ref="B28:D28"/>
  </mergeCells>
  <dataValidations count="2">
    <dataValidation allowBlank="true" error="Escribe un número, sin signos" errorStyle="stop" errorTitle="Valor" operator="greaterThanOrEqual" showDropDown="false" showErrorMessage="false" showInputMessage="false" sqref="B5:B12 D5:E14 E19:E23 B27" type="decimal">
      <formula1>0</formula1>
      <formula2>0</formula2>
    </dataValidation>
    <dataValidation allowBlank="true" errorStyle="stop" operator="between" showDropDown="false" showErrorMessage="false" showInputMessage="false" sqref="C5:C12" type="list">
      <formula1>"semana,mes"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2026-09-27T11:34:50Z</dcterms:created>
  <dc:creator>openpyxl</dc:creator>
  <dc:description/>
  <dc:language>en-US</dc:language>
  <cp:lastModifiedBy/>
  <dcterms:modified xsi:type="dcterms:W3CDTF">2026-09-27T11:34:50Z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