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ómo usar" sheetId="1" state="visible" r:id="rId3"/>
    <sheet name="Mi CRM" sheetId="2" state="visible" r:id="rId4"/>
    <sheet name="Resumen" sheetId="3" state="visible" r:id="rId5"/>
    <sheet name="Me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<sst xmlns="http://schemas.openxmlformats.org/spreadsheetml/2006/main" count="130" uniqueCount="124">
  <si>
    <t xml:space="preserve">Mi CRM: formato de gestión de clientes (A11)</t>
  </si>
  <si>
    <t xml:space="preserve">Ruta HACER · Semana 5 · Acceso a mercados: mi plan comercial · «Cómo vender más» · Centro de Innovación Comunitario · Red de Mujeres del Caribe</t>
  </si>
  <si>
    <t xml:space="preserve">Para qué sirve</t>
  </si>
  <si>
    <t xml:space="preserve">Para tener ordenados tus clientes potenciales —al menos cinco—, saber quién te puede conectar con cada uno y no perder el hilo de lo que pasa con cada contacto. También calcula tu meta comercial con la regla del punto de equilibrio.</t>
  </si>
  <si>
    <t xml:space="preserve">Cómo se usa</t>
  </si>
  <si>
    <t xml:space="preserve">1. En la hoja «Mi CRM», escribe una fila por cliente: quién es, qué te podría comprar, el contacto (quién decide y cómo encontrarlo), quién te conecta, qué le ofreces (entre tu piso y tu techo) y la fecha de contacto.</t>
  </si>
  <si>
    <t xml:space="preserve">2. Después de cada contacto, anota el resultado, escoge el estado en la lista (Por contactar, Contactado, Interesado, Compró o No por ahora), escribe el siguiente paso y la fecha del próximo paso. Si compró, escribe el valor de la venta.</t>
  </si>
  <si>
    <t xml:space="preserve">3. La hoja «Resumen» cuenta sola cuántos clientes tienes en cada estado, cuántos ya contactaste y cuánto vendiste. Revísala al final de la semana.</t>
  </si>
  <si>
    <t xml:space="preserve">4. En la hoja «Meta», escribe lo que vendes hoy por semana y tu punto de equilibrio por semana (en unidades con tu precio promedio, o directamente en pesos). La hoja aplica la regla y te dice tu meta y cuánto te falta.</t>
  </si>
  <si>
    <t xml:space="preserve">Importante</t>
  </si>
  <si>
    <t xml:space="preserve">Las filas y celdas con fondo crema y letra gris son un EJEMPLO (Marta, vendedora de jugos; caso ilustrativo). Bórralas antes de escribir tus propios datos.</t>
  </si>
  <si>
    <t xml:space="preserve">Regla de la meta: si vendes por debajo de tu punto de equilibrio, la meta mínima es alcanzarlo; si estás cerca o por encima, la meta es crecer al menos un 15 %. La hoja toma la mayor de las dos.</t>
  </si>
  <si>
    <t xml:space="preserve">Un «no» no se borra: se marca «No por ahora» y se anota cuándo volver. La tarea de esta semana es contactar al menos a tres clientes de tu CRM.</t>
  </si>
  <si>
    <t xml:space="preserve">Leyenda</t>
  </si>
  <si>
    <t xml:space="preserve">Celda amarilla = la llenas tú.   Celda blanca = se calcula sola, no la borres.</t>
  </si>
  <si>
    <t xml:space="preserve">Mi CRM: mis clientes y lo que pasa con cada uno</t>
  </si>
  <si>
    <t xml:space="preserve">Nombre de la emprendedora:</t>
  </si>
  <si>
    <t xml:space="preserve">Cliente</t>
  </si>
  <si>
    <t xml:space="preserve">Qué compra o podría comprar</t>
  </si>
  <si>
    <t xml:space="preserve">Contacto (quién decide y cómo encontrarlo)</t>
  </si>
  <si>
    <t xml:space="preserve">Quién me conecta</t>
  </si>
  <si>
    <t xml:space="preserve">Qué le ofrezco</t>
  </si>
  <si>
    <t xml:space="preserve">Fecha de contacto</t>
  </si>
  <si>
    <t xml:space="preserve">Resultado</t>
  </si>
  <si>
    <t xml:space="preserve">Estado</t>
  </si>
  <si>
    <t xml:space="preserve">Siguiente paso</t>
  </si>
  <si>
    <t xml:space="preserve">Fecha próximo paso</t>
  </si>
  <si>
    <t xml:space="preserve">Valor vendido ($)</t>
  </si>
  <si>
    <t xml:space="preserve">Las filas crema son un ejemplo (Marta): bórralas antes de empezar.</t>
  </si>
  <si>
    <t xml:space="preserve">Empresa cercana</t>
  </si>
  <si>
    <t xml:space="preserve">Plan semanal para empleados; jugos para reuniones</t>
  </si>
  <si>
    <t xml:space="preserve">Jefa de talento humano (WhatsApp)</t>
  </si>
  <si>
    <t xml:space="preserve">Una mamá del colegio que trabaja allí</t>
  </si>
  <si>
    <t xml:space="preserve">Plan semanal: 5 jugos por $9.500, entrega 9 a. m.; 10 muestras</t>
  </si>
  <si>
    <t xml:space="preserve">Pidió muestras para la reunión y la oferta por escrito.</t>
  </si>
  <si>
    <t xml:space="preserve">Interesado</t>
  </si>
  <si>
    <t xml:space="preserve">Llevar 10 muestras y la hoja de oferta</t>
  </si>
  <si>
    <t xml:space="preserve">Estado: escoge de la lista (Por contactar, Contactado, Interesado, Compró, No por ahora).</t>
  </si>
  <si>
    <t xml:space="preserve">Junta de acción comunal</t>
  </si>
  <si>
    <t xml:space="preserve">Encargos para reuniones y eventos</t>
  </si>
  <si>
    <t xml:space="preserve">Presidenta de la junta</t>
  </si>
  <si>
    <t xml:space="preserve">Una vecina de la cadena que es de la junta</t>
  </si>
  <si>
    <t xml:space="preserve">Jugos grandes a $4.000, con tres días de aviso</t>
  </si>
  <si>
    <t xml:space="preserve">Encargó 15 jugos grandes para el sábado.</t>
  </si>
  <si>
    <t xml:space="preserve">Compró</t>
  </si>
  <si>
    <t xml:space="preserve">Entregar el sábado; preguntar por la reunión de diciembre</t>
  </si>
  <si>
    <t xml:space="preserve">Valor vendido: solo si el estado es «Compró».</t>
  </si>
  <si>
    <t xml:space="preserve">Tienda naturista del municipio</t>
  </si>
  <si>
    <t xml:space="preserve">Jugos sin azúcar para vender en la mañana</t>
  </si>
  <si>
    <t xml:space="preserve">La dueña (en la tienda, de 8 a 12)</t>
  </si>
  <si>
    <t xml:space="preserve">Su hermana, clienta de la tienda</t>
  </si>
  <si>
    <t xml:space="preserve">Jugo grande sin azúcar con tapa; precio por volumen, nunca menos de $3.100</t>
  </si>
  <si>
    <t xml:space="preserve">No estaba la dueña; dejó su número.</t>
  </si>
  <si>
    <t xml:space="preserve">Contactado</t>
  </si>
  <si>
    <t xml:space="preserve">Volver con 3 muestras</t>
  </si>
  <si>
    <t xml:space="preserve">Gimnasio del barrio</t>
  </si>
  <si>
    <t xml:space="preserve">Jugos para después de entrenar</t>
  </si>
  <si>
    <t xml:space="preserve">El administrador</t>
  </si>
  <si>
    <t xml:space="preserve">Directo (pasa por ahí todos los días)</t>
  </si>
  <si>
    <t xml:space="preserve">Jugo grande natural sin azúcar a $4.000</t>
  </si>
  <si>
    <t xml:space="preserve">Ya tiene quien le venda batidos; que vuelva en enero.</t>
  </si>
  <si>
    <t xml:space="preserve">No por ahora</t>
  </si>
  <si>
    <t xml:space="preserve">Volver a llamar</t>
  </si>
  <si>
    <t xml:space="preserve">Cafetería de la sede educativa</t>
  </si>
  <si>
    <t xml:space="preserve">Jugos para vender en la cafetería</t>
  </si>
  <si>
    <t xml:space="preserve">La administradora de la cafetería</t>
  </si>
  <si>
    <t xml:space="preserve">La dinamizadora de acceso a mercados</t>
  </si>
  <si>
    <t xml:space="preserve">Jugos por volumen con entrega diaria</t>
  </si>
  <si>
    <t xml:space="preserve">Aún no.</t>
  </si>
  <si>
    <t xml:space="preserve">Por contactar</t>
  </si>
  <si>
    <t xml:space="preserve">Pedir la cita con la dinamizadora de mercados</t>
  </si>
  <si>
    <t xml:space="preserve">Resumen de mi CRM</t>
  </si>
  <si>
    <t xml:space="preserve">Se calcula solo con lo que escribes en «Mi CRM». No escribas en esta hoja.</t>
  </si>
  <si>
    <t xml:space="preserve">Clientes</t>
  </si>
  <si>
    <t xml:space="preserve">Qué hacer</t>
  </si>
  <si>
    <t xml:space="preserve">Escoge a quién llamar primero y ponle fecha.</t>
  </si>
  <si>
    <t xml:space="preserve">Vuelve a escribir en la fecha acordada.</t>
  </si>
  <si>
    <t xml:space="preserve">Lleva la muestra o la propuesta que pidió.</t>
  </si>
  <si>
    <t xml:space="preserve">Agradece, cumple y pregunta «¿a quién más le puede servir?».</t>
  </si>
  <si>
    <t xml:space="preserve">Anota cuándo volver: un «no» es un dato.</t>
  </si>
  <si>
    <t xml:space="preserve">Total de clientes en mi CRM</t>
  </si>
  <si>
    <t xml:space="preserve">Mi semana comercial</t>
  </si>
  <si>
    <t xml:space="preserve">Clientes ya contactados (todos menos «Por contactar»)</t>
  </si>
  <si>
    <t xml:space="preserve">¿Cumplí la tarea de contactar al menos a tres?</t>
  </si>
  <si>
    <t xml:space="preserve">Ventas cerradas (clientes que compraron)</t>
  </si>
  <si>
    <t xml:space="preserve">Valor de las ventas cerradas</t>
  </si>
  <si>
    <t xml:space="preserve">De los contactados, compraron (%)</t>
  </si>
  <si>
    <t xml:space="preserve">Con el ejemplo de Marta: 5 clientes, 4 contactados, 1 venta cerrada por $60.000 (un encargo puntual de la junta).</t>
  </si>
  <si>
    <t xml:space="preserve">Mi meta comercial</t>
  </si>
  <si>
    <t xml:space="preserve">Usa el mismo periodo para todo (aquí, por semana). Llena las celdas amarillas; las blancas se calculan solas.</t>
  </si>
  <si>
    <t xml:space="preserve">1. Lo que vendo hoy y mi punto de equilibrio</t>
  </si>
  <si>
    <t xml:space="preserve">Periodo</t>
  </si>
  <si>
    <t xml:space="preserve">Semana</t>
  </si>
  <si>
    <t xml:space="preserve">Escoge Semana, Mes o Día. Todas las cifras deben ser del mismo periodo.</t>
  </si>
  <si>
    <t xml:space="preserve">Ventas actuales en el periodo ($)</t>
  </si>
  <si>
    <t xml:space="preserve">Sale de tu registro diario. Marta: $96.000 al día × 5 días = $480.000 por semana.</t>
  </si>
  <si>
    <t xml:space="preserve">Punto de equilibrio en el periodo, en unidades</t>
  </si>
  <si>
    <t xml:space="preserve">De la semana 4. Marta: 180.000 ÷ 540 ≈ 334 vasos al mes ≈ 84 por semana.</t>
  </si>
  <si>
    <t xml:space="preserve">Precio promedio por unidad ($)</t>
  </si>
  <si>
    <t xml:space="preserve">Ventas de un día ÷ unidades vendidas ese día. Marta: $96.000 ÷ 40 vasos = $2.400.</t>
  </si>
  <si>
    <t xml:space="preserve">O, si ya tienes tu punto de equilibrio en pesos ($)</t>
  </si>
  <si>
    <t xml:space="preserve">Opcional. Si llenas esta celda, la hoja usa este valor en vez de unidades × precio.</t>
  </si>
  <si>
    <t xml:space="preserve">2. La regla de la meta</t>
  </si>
  <si>
    <t xml:space="preserve">Punto de equilibrio en pesos ($)</t>
  </si>
  <si>
    <t xml:space="preserve">Unidades × precio promedio. Marta: 84 × $2.400 = $201.600.</t>
  </si>
  <si>
    <t xml:space="preserve">Ventas actuales + 15 % ($)</t>
  </si>
  <si>
    <t xml:space="preserve">Ventas × 1,15.</t>
  </si>
  <si>
    <t xml:space="preserve">¿Dónde estoy?</t>
  </si>
  <si>
    <t xml:space="preserve">«Cerca»: con un 15 % más ya supero mi punto de equilibrio.</t>
  </si>
  <si>
    <t xml:space="preserve">Regla que aplica</t>
  </si>
  <si>
    <t xml:space="preserve">Por debajo → alcanzar el punto de equilibrio. Cerca o por encima → crecer al menos 15 %.</t>
  </si>
  <si>
    <t xml:space="preserve">MI META en el periodo ($)</t>
  </si>
  <si>
    <t xml:space="preserve">La mayor entre el punto de equilibrio y las ventas + 15 %.</t>
  </si>
  <si>
    <t xml:space="preserve">ME FALTA para llegar a la meta ($)</t>
  </si>
  <si>
    <t xml:space="preserve">Meta − ventas actuales.</t>
  </si>
  <si>
    <t xml:space="preserve">Crecimiento que pide la meta (%)</t>
  </si>
  <si>
    <t xml:space="preserve">3. Mi meta en algo concreto</t>
  </si>
  <si>
    <t xml:space="preserve">Mi oferta principal para crecer</t>
  </si>
  <si>
    <t xml:space="preserve">Plan semanal</t>
  </si>
  <si>
    <t xml:space="preserve">El producto o la oferta con la que vas a buscar lo que te falta.</t>
  </si>
  <si>
    <t xml:space="preserve">Precio de esa oferta ($)</t>
  </si>
  <si>
    <t xml:space="preserve">Marta: plan semanal de 5 jugos pequeños por $9.500.</t>
  </si>
  <si>
    <t xml:space="preserve">¿Cuántas más tengo que vender en el periodo?</t>
  </si>
  <si>
    <t xml:space="preserve">Las celdas crema son el ejemplo de Marta (caso ilustrativo): con ventas de $480.000 por semana y un punto de equilibrio de unos 84 vasos, su meta es $552.000 por semana (+$72.000), unos 8 planes semanales. Reemplázalas por tus datos.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</si>
</sst>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&quot;$ &quot;#,##0;&quot;-$ &quot;#,##0;\-"/>
    <numFmt numFmtId="167" formatCode="General"/>
    <numFmt numFmtId="168" formatCode="0%"/>
    <numFmt numFmtId="169" formatCode="#,##0"/>
    <numFmt numFmtId="170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C48"/>
      <name val="Arial"/>
      <family val="0"/>
      <charset val="1"/>
    </font>
    <font>
      <sz val="10"/>
      <color rgb="FF5A6B70"/>
      <name val="Arial"/>
      <family val="0"/>
      <charset val="1"/>
    </font>
    <font>
      <b val="true"/>
      <sz val="12"/>
      <color rgb="FF2E6E82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E1673C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4"/>
      <color rgb="FF173C4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E1673C"/>
      <name val="Arial"/>
      <family val="0"/>
      <charset val="1"/>
    </font>
    <font>
      <i val="true"/>
      <sz val="10"/>
      <color rgb="FF5A6B70"/>
      <name val="Arial"/>
      <family val="0"/>
      <charset val="1"/>
    </font>
    <font>
      <i val="true"/>
      <sz val="9"/>
      <color rgb="FF5A6B7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73C48"/>
      <name val="Arial"/>
      <family val="0"/>
      <charset val="1"/>
    </font>
    <font>
      <b val="true"/>
      <sz val="12"/>
      <color rgb="FF173C48"/>
      <name val="Arial"/>
      <family val="0"/>
      <charset val="1"/>
    </font>
    <font>
      <i val="true"/>
      <sz val="10"/>
      <color rgb="FF173C4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4CC"/>
        <bgColor rgb="FFF6F1E7"/>
      </patternFill>
    </fill>
    <fill>
      <patternFill patternType="solid">
        <fgColor rgb="FF173C48"/>
        <bgColor rgb="FF333333"/>
      </patternFill>
    </fill>
    <fill>
      <patternFill patternType="solid">
        <fgColor rgb="FFF6F1E7"/>
        <bgColor rgb="FFFFF4CC"/>
      </patternFill>
    </fill>
    <fill>
      <patternFill patternType="solid">
        <fgColor rgb="FFF7E6C4"/>
        <bgColor rgb="FFFFF4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2C3"/>
      </left>
      <right/>
      <top style="thin">
        <color rgb="FFD9D2C3"/>
      </top>
      <bottom style="thin">
        <color rgb="FFD9D2C3"/>
      </bottom>
      <diagonal/>
    </border>
    <border diagonalUp="false" diagonalDown="false">
      <left style="thin">
        <color rgb="FFD9D2C3"/>
      </left>
      <right style="thin">
        <color rgb="FFD9D2C3"/>
      </right>
      <top style="thin">
        <color rgb="FFD9D2C3"/>
      </top>
      <bottom style="thin">
        <color rgb="FFD9D2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4" fillId="4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14" fillId="4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2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7" fillId="2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14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4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18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1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2E6E82"/>
      </font>
      <fill>
        <patternFill>
          <bgColor rgb="FFDCEBEF"/>
        </patternFill>
      </fill>
    </dxf>
    <dxf>
      <font>
        <name val="Arial"/>
        <charset val="1"/>
        <family val="0"/>
        <b val="1"/>
        <color rgb="FF173C48"/>
      </font>
      <fill>
        <patternFill>
          <bgColor rgb="FFF7E6C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E82"/>
      <rgbColor rgb="FFD9D2C3"/>
      <rgbColor rgb="FF808080"/>
      <rgbColor rgb="FF9999FF"/>
      <rgbColor rgb="FF993366"/>
      <rgbColor rgb="FFFFF4CC"/>
      <rgbColor rgb="FFDCEB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1E7"/>
      <rgbColor rgb="FFCCFFCC"/>
      <rgbColor rgb="FFF7E6C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7A93C"/>
      <rgbColor rgb="FFE1673C"/>
      <rgbColor rgb="FF5A6B70"/>
      <rgbColor rgb="FF969696"/>
      <rgbColor rgb="FF173C4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1673C"/>
    <pageSetUpPr fitToPage="false"/>
  </sheetPr>
  <dimension ref="B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0"/>
  </cols>
  <sheetData>
    <row r="1" customFormat="false" ht="19.7" hidden="false" customHeight="false" outlineLevel="0" collapsed="false">
      <c r="B1" s="2" t="s">
        <v>0</v>
      </c>
    </row>
    <row r="2" customFormat="false" ht="23.85" hidden="false" customHeight="false" outlineLevel="0" collapsed="false">
      <c r="B2" s="3" t="s">
        <v>1</v>
      </c>
    </row>
    <row r="3" customFormat="false" ht="15" hidden="false" customHeight="false" outlineLevel="0" collapsed="false">
      <c r="B3" s="4"/>
    </row>
    <row r="4" customFormat="false" ht="15" hidden="false" customHeight="false" outlineLevel="0" collapsed="false">
      <c r="B4" s="5" t="s">
        <v>2</v>
      </c>
    </row>
    <row r="5" customFormat="false" ht="23.85" hidden="false" customHeight="false" outlineLevel="0" collapsed="false">
      <c r="B5" s="6" t="s">
        <v>3</v>
      </c>
    </row>
    <row r="6" customFormat="false" ht="15" hidden="false" customHeight="false" outlineLevel="0" collapsed="false">
      <c r="B6" s="4"/>
    </row>
    <row r="7" customFormat="false" ht="15" hidden="false" customHeight="false" outlineLevel="0" collapsed="false">
      <c r="B7" s="5" t="s">
        <v>4</v>
      </c>
    </row>
    <row r="8" customFormat="false" ht="23.85" hidden="false" customHeight="false" outlineLevel="0" collapsed="false">
      <c r="B8" s="6" t="s">
        <v>5</v>
      </c>
    </row>
    <row r="9" customFormat="false" ht="23.85" hidden="false" customHeight="false" outlineLevel="0" collapsed="false">
      <c r="B9" s="6" t="s">
        <v>6</v>
      </c>
    </row>
    <row r="10" customFormat="false" ht="23.85" hidden="false" customHeight="false" outlineLevel="0" collapsed="false">
      <c r="B10" s="6" t="s">
        <v>7</v>
      </c>
    </row>
    <row r="11" customFormat="false" ht="23.85" hidden="false" customHeight="false" outlineLevel="0" collapsed="false">
      <c r="B11" s="6" t="s">
        <v>8</v>
      </c>
    </row>
    <row r="12" customFormat="false" ht="15" hidden="false" customHeight="false" outlineLevel="0" collapsed="false">
      <c r="B12" s="4"/>
    </row>
    <row r="13" customFormat="false" ht="15" hidden="false" customHeight="false" outlineLevel="0" collapsed="false">
      <c r="B13" s="7" t="s">
        <v>9</v>
      </c>
    </row>
    <row r="14" customFormat="false" ht="23.85" hidden="false" customHeight="false" outlineLevel="0" collapsed="false">
      <c r="B14" s="8" t="s">
        <v>10</v>
      </c>
    </row>
    <row r="15" customFormat="false" ht="23.85" hidden="false" customHeight="false" outlineLevel="0" collapsed="false">
      <c r="B15" s="6" t="s">
        <v>11</v>
      </c>
    </row>
    <row r="16" customFormat="false" ht="23.85" hidden="false" customHeight="false" outlineLevel="0" collapsed="false">
      <c r="B16" s="9" t="s">
        <v>12</v>
      </c>
    </row>
    <row r="17" customFormat="false" ht="15" hidden="false" customHeight="false" outlineLevel="0" collapsed="false">
      <c r="B17" s="4"/>
    </row>
    <row r="18" customFormat="false" ht="15" hidden="false" customHeight="false" outlineLevel="0" collapsed="false">
      <c r="B18" s="5" t="s">
        <v>13</v>
      </c>
    </row>
    <row r="19" customFormat="false" ht="15" hidden="false" customHeight="false" outlineLevel="0" collapsed="false">
      <c r="B19" s="1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C48"/>
    <pageSetUpPr fitToPage="false"/>
  </sheetPr>
  <dimension ref="A1:M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26"/>
    <col collapsed="false" customWidth="true" hidden="false" outlineLevel="0" max="4" min="4" style="1" width="24"/>
    <col collapsed="false" customWidth="true" hidden="false" outlineLevel="0" max="5" min="5" style="1" width="30"/>
    <col collapsed="false" customWidth="true" hidden="false" outlineLevel="0" max="6" min="6" style="1" width="13"/>
    <col collapsed="false" customWidth="true" hidden="false" outlineLevel="0" max="7" min="7" style="1" width="32"/>
    <col collapsed="false" customWidth="true" hidden="false" outlineLevel="0" max="8" min="8" style="1" width="15"/>
    <col collapsed="false" customWidth="true" hidden="false" outlineLevel="0" max="9" min="9" style="1" width="30"/>
    <col collapsed="false" customWidth="true" hidden="false" outlineLevel="0" max="10" min="10" style="1" width="13"/>
    <col collapsed="false" customWidth="true" hidden="false" outlineLevel="0" max="11" min="11" style="1" width="15"/>
    <col collapsed="false" customWidth="true" hidden="false" outlineLevel="0" max="13" min="13" style="1" width="60"/>
  </cols>
  <sheetData>
    <row r="1" customFormat="false" ht="17.35" hidden="false" customHeight="false" outlineLevel="0" collapsed="false">
      <c r="A1" s="11" t="s">
        <v>15</v>
      </c>
    </row>
    <row r="2" customFormat="false" ht="15" hidden="false" customHeight="false" outlineLevel="0" collapsed="false">
      <c r="A2" s="12" t="s">
        <v>16</v>
      </c>
      <c r="C2" s="13"/>
      <c r="D2" s="13"/>
      <c r="E2" s="13"/>
    </row>
    <row r="4" customFormat="false" ht="45" hidden="false" customHeight="true" outlineLevel="0" collapsed="false">
      <c r="A4" s="14" t="s">
        <v>17</v>
      </c>
      <c r="B4" s="14" t="s">
        <v>18</v>
      </c>
      <c r="C4" s="14" t="s">
        <v>19</v>
      </c>
      <c r="D4" s="14" t="s">
        <v>20</v>
      </c>
      <c r="E4" s="14" t="s">
        <v>21</v>
      </c>
      <c r="F4" s="14" t="s">
        <v>22</v>
      </c>
      <c r="G4" s="14" t="s">
        <v>23</v>
      </c>
      <c r="H4" s="14" t="s">
        <v>24</v>
      </c>
      <c r="I4" s="14" t="s">
        <v>25</v>
      </c>
      <c r="J4" s="14" t="s">
        <v>26</v>
      </c>
      <c r="K4" s="14" t="s">
        <v>27</v>
      </c>
      <c r="M4" s="15" t="s">
        <v>28</v>
      </c>
    </row>
    <row r="5" customFormat="false" ht="39.75" hidden="false" customHeight="true" outlineLevel="0" collapsed="false">
      <c r="A5" s="16" t="s">
        <v>29</v>
      </c>
      <c r="B5" s="16" t="s">
        <v>30</v>
      </c>
      <c r="C5" s="16" t="s">
        <v>31</v>
      </c>
      <c r="D5" s="16" t="s">
        <v>32</v>
      </c>
      <c r="E5" s="16" t="s">
        <v>33</v>
      </c>
      <c r="F5" s="17" t="n">
        <v>46330</v>
      </c>
      <c r="G5" s="16" t="s">
        <v>34</v>
      </c>
      <c r="H5" s="16" t="s">
        <v>35</v>
      </c>
      <c r="I5" s="16" t="s">
        <v>36</v>
      </c>
      <c r="J5" s="17" t="n">
        <v>46332</v>
      </c>
      <c r="K5" s="18"/>
      <c r="M5" s="19" t="s">
        <v>37</v>
      </c>
    </row>
    <row r="6" customFormat="false" ht="39.75" hidden="false" customHeight="true" outlineLevel="0" collapsed="false">
      <c r="A6" s="16" t="s">
        <v>38</v>
      </c>
      <c r="B6" s="16" t="s">
        <v>39</v>
      </c>
      <c r="C6" s="16" t="s">
        <v>40</v>
      </c>
      <c r="D6" s="16" t="s">
        <v>41</v>
      </c>
      <c r="E6" s="16" t="s">
        <v>42</v>
      </c>
      <c r="F6" s="17" t="n">
        <v>46330</v>
      </c>
      <c r="G6" s="16" t="s">
        <v>43</v>
      </c>
      <c r="H6" s="16" t="s">
        <v>44</v>
      </c>
      <c r="I6" s="16" t="s">
        <v>45</v>
      </c>
      <c r="J6" s="17" t="n">
        <v>46333</v>
      </c>
      <c r="K6" s="18" t="n">
        <v>60000</v>
      </c>
      <c r="M6" s="19" t="s">
        <v>46</v>
      </c>
    </row>
    <row r="7" customFormat="false" ht="39.75" hidden="false" customHeight="true" outlineLevel="0" collapsed="false">
      <c r="A7" s="16" t="s">
        <v>47</v>
      </c>
      <c r="B7" s="16" t="s">
        <v>48</v>
      </c>
      <c r="C7" s="16" t="s">
        <v>49</v>
      </c>
      <c r="D7" s="16" t="s">
        <v>50</v>
      </c>
      <c r="E7" s="16" t="s">
        <v>51</v>
      </c>
      <c r="F7" s="17" t="n">
        <v>46331</v>
      </c>
      <c r="G7" s="16" t="s">
        <v>52</v>
      </c>
      <c r="H7" s="16" t="s">
        <v>53</v>
      </c>
      <c r="I7" s="16" t="s">
        <v>54</v>
      </c>
      <c r="J7" s="17" t="n">
        <v>46335</v>
      </c>
      <c r="K7" s="18"/>
    </row>
    <row r="8" customFormat="false" ht="39.75" hidden="false" customHeight="true" outlineLevel="0" collapsed="false">
      <c r="A8" s="16" t="s">
        <v>55</v>
      </c>
      <c r="B8" s="16" t="s">
        <v>56</v>
      </c>
      <c r="C8" s="16" t="s">
        <v>57</v>
      </c>
      <c r="D8" s="16" t="s">
        <v>58</v>
      </c>
      <c r="E8" s="16" t="s">
        <v>59</v>
      </c>
      <c r="F8" s="17" t="n">
        <v>46332</v>
      </c>
      <c r="G8" s="16" t="s">
        <v>60</v>
      </c>
      <c r="H8" s="16" t="s">
        <v>61</v>
      </c>
      <c r="I8" s="16" t="s">
        <v>62</v>
      </c>
      <c r="J8" s="17" t="n">
        <v>46398</v>
      </c>
      <c r="K8" s="18"/>
    </row>
    <row r="9" customFormat="false" ht="39.75" hidden="false" customHeight="true" outlineLevel="0" collapsed="false">
      <c r="A9" s="16" t="s">
        <v>63</v>
      </c>
      <c r="B9" s="16" t="s">
        <v>64</v>
      </c>
      <c r="C9" s="16" t="s">
        <v>65</v>
      </c>
      <c r="D9" s="16" t="s">
        <v>66</v>
      </c>
      <c r="E9" s="16" t="s">
        <v>67</v>
      </c>
      <c r="F9" s="17"/>
      <c r="G9" s="16" t="s">
        <v>68</v>
      </c>
      <c r="H9" s="16" t="s">
        <v>69</v>
      </c>
      <c r="I9" s="16" t="s">
        <v>70</v>
      </c>
      <c r="J9" s="17" t="n">
        <v>46336</v>
      </c>
      <c r="K9" s="18"/>
    </row>
    <row r="10" customFormat="false" ht="15" hidden="false" customHeight="false" outlineLevel="0" collapsed="false">
      <c r="A10" s="20"/>
      <c r="B10" s="20"/>
      <c r="C10" s="20"/>
      <c r="D10" s="20"/>
      <c r="E10" s="20"/>
      <c r="F10" s="21"/>
      <c r="G10" s="20"/>
      <c r="H10" s="20"/>
      <c r="I10" s="20"/>
      <c r="J10" s="21"/>
      <c r="K10" s="22"/>
    </row>
    <row r="11" customFormat="false" ht="15" hidden="false" customHeight="false" outlineLevel="0" collapsed="false">
      <c r="A11" s="20"/>
      <c r="B11" s="20"/>
      <c r="C11" s="20"/>
      <c r="D11" s="20"/>
      <c r="E11" s="20"/>
      <c r="F11" s="21"/>
      <c r="G11" s="20"/>
      <c r="H11" s="20"/>
      <c r="I11" s="20"/>
      <c r="J11" s="21"/>
      <c r="K11" s="22"/>
    </row>
    <row r="12" customFormat="false" ht="15" hidden="false" customHeight="false" outlineLevel="0" collapsed="false">
      <c r="A12" s="20"/>
      <c r="B12" s="20"/>
      <c r="C12" s="20"/>
      <c r="D12" s="20"/>
      <c r="E12" s="20"/>
      <c r="F12" s="21"/>
      <c r="G12" s="20"/>
      <c r="H12" s="20"/>
      <c r="I12" s="20"/>
      <c r="J12" s="21"/>
      <c r="K12" s="22"/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1"/>
      <c r="G13" s="20"/>
      <c r="H13" s="20"/>
      <c r="I13" s="20"/>
      <c r="J13" s="21"/>
      <c r="K13" s="22"/>
    </row>
    <row r="14" customFormat="false" ht="15" hidden="false" customHeight="false" outlineLevel="0" collapsed="false">
      <c r="A14" s="20"/>
      <c r="B14" s="20"/>
      <c r="C14" s="20"/>
      <c r="D14" s="20"/>
      <c r="E14" s="20"/>
      <c r="F14" s="21"/>
      <c r="G14" s="20"/>
      <c r="H14" s="20"/>
      <c r="I14" s="20"/>
      <c r="J14" s="21"/>
      <c r="K14" s="22"/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1"/>
      <c r="G15" s="20"/>
      <c r="H15" s="20"/>
      <c r="I15" s="20"/>
      <c r="J15" s="21"/>
      <c r="K15" s="22"/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1"/>
      <c r="G16" s="20"/>
      <c r="H16" s="20"/>
      <c r="I16" s="20"/>
      <c r="J16" s="21"/>
      <c r="K16" s="22"/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1"/>
      <c r="G17" s="20"/>
      <c r="H17" s="20"/>
      <c r="I17" s="20"/>
      <c r="J17" s="21"/>
      <c r="K17" s="22"/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1"/>
      <c r="G18" s="20"/>
      <c r="H18" s="20"/>
      <c r="I18" s="20"/>
      <c r="J18" s="21"/>
      <c r="K18" s="22"/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1"/>
      <c r="G19" s="20"/>
      <c r="H19" s="20"/>
      <c r="I19" s="20"/>
      <c r="J19" s="21"/>
      <c r="K19" s="22"/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1"/>
      <c r="G20" s="20"/>
      <c r="H20" s="20"/>
      <c r="I20" s="20"/>
      <c r="J20" s="21"/>
      <c r="K20" s="22"/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1"/>
      <c r="G21" s="20"/>
      <c r="H21" s="20"/>
      <c r="I21" s="20"/>
      <c r="J21" s="21"/>
      <c r="K21" s="22"/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1"/>
      <c r="G22" s="20"/>
      <c r="H22" s="20"/>
      <c r="I22" s="20"/>
      <c r="J22" s="21"/>
      <c r="K22" s="22"/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1"/>
      <c r="G23" s="20"/>
      <c r="H23" s="20"/>
      <c r="I23" s="20"/>
      <c r="J23" s="21"/>
      <c r="K23" s="22"/>
    </row>
    <row r="24" customFormat="false" ht="15" hidden="false" customHeight="false" outlineLevel="0" collapsed="false">
      <c r="A24" s="20"/>
      <c r="B24" s="20"/>
      <c r="C24" s="20"/>
      <c r="D24" s="20"/>
      <c r="E24" s="20"/>
      <c r="F24" s="21"/>
      <c r="G24" s="20"/>
      <c r="H24" s="20"/>
      <c r="I24" s="20"/>
      <c r="J24" s="21"/>
      <c r="K24" s="22"/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1"/>
      <c r="G25" s="20"/>
      <c r="H25" s="20"/>
      <c r="I25" s="20"/>
      <c r="J25" s="21"/>
      <c r="K25" s="22"/>
    </row>
    <row r="26" customFormat="false" ht="15" hidden="false" customHeight="false" outlineLevel="0" collapsed="false">
      <c r="A26" s="20"/>
      <c r="B26" s="20"/>
      <c r="C26" s="20"/>
      <c r="D26" s="20"/>
      <c r="E26" s="20"/>
      <c r="F26" s="21"/>
      <c r="G26" s="20"/>
      <c r="H26" s="20"/>
      <c r="I26" s="20"/>
      <c r="J26" s="21"/>
      <c r="K26" s="22"/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1"/>
      <c r="G27" s="20"/>
      <c r="H27" s="20"/>
      <c r="I27" s="20"/>
      <c r="J27" s="21"/>
      <c r="K27" s="22"/>
    </row>
    <row r="28" customFormat="false" ht="15" hidden="false" customHeight="false" outlineLevel="0" collapsed="false">
      <c r="A28" s="20"/>
      <c r="B28" s="20"/>
      <c r="C28" s="20"/>
      <c r="D28" s="20"/>
      <c r="E28" s="20"/>
      <c r="F28" s="21"/>
      <c r="G28" s="20"/>
      <c r="H28" s="20"/>
      <c r="I28" s="20"/>
      <c r="J28" s="21"/>
      <c r="K28" s="22"/>
    </row>
    <row r="29" customFormat="false" ht="15" hidden="false" customHeight="false" outlineLevel="0" collapsed="false">
      <c r="A29" s="20"/>
      <c r="B29" s="20"/>
      <c r="C29" s="20"/>
      <c r="D29" s="20"/>
      <c r="E29" s="20"/>
      <c r="F29" s="21"/>
      <c r="G29" s="20"/>
      <c r="H29" s="20"/>
      <c r="I29" s="20"/>
      <c r="J29" s="21"/>
      <c r="K29" s="22"/>
    </row>
    <row r="30" customFormat="false" ht="15" hidden="false" customHeight="false" outlineLevel="0" collapsed="false">
      <c r="A30" s="20"/>
      <c r="B30" s="20"/>
      <c r="C30" s="20"/>
      <c r="D30" s="20"/>
      <c r="E30" s="20"/>
      <c r="F30" s="21"/>
      <c r="G30" s="20"/>
      <c r="H30" s="20"/>
      <c r="I30" s="20"/>
      <c r="J30" s="21"/>
      <c r="K30" s="22"/>
    </row>
    <row r="31" customFormat="false" ht="15" hidden="false" customHeight="false" outlineLevel="0" collapsed="false">
      <c r="A31" s="20"/>
      <c r="B31" s="20"/>
      <c r="C31" s="20"/>
      <c r="D31" s="20"/>
      <c r="E31" s="20"/>
      <c r="F31" s="21"/>
      <c r="G31" s="20"/>
      <c r="H31" s="20"/>
      <c r="I31" s="20"/>
      <c r="J31" s="21"/>
      <c r="K31" s="22"/>
    </row>
    <row r="32" customFormat="false" ht="15" hidden="false" customHeight="false" outlineLevel="0" collapsed="false">
      <c r="A32" s="20"/>
      <c r="B32" s="20"/>
      <c r="C32" s="20"/>
      <c r="D32" s="20"/>
      <c r="E32" s="20"/>
      <c r="F32" s="21"/>
      <c r="G32" s="20"/>
      <c r="H32" s="20"/>
      <c r="I32" s="20"/>
      <c r="J32" s="21"/>
      <c r="K32" s="22"/>
    </row>
    <row r="33" customFormat="false" ht="15" hidden="false" customHeight="false" outlineLevel="0" collapsed="false">
      <c r="A33" s="20"/>
      <c r="B33" s="20"/>
      <c r="C33" s="20"/>
      <c r="D33" s="20"/>
      <c r="E33" s="20"/>
      <c r="F33" s="21"/>
      <c r="G33" s="20"/>
      <c r="H33" s="20"/>
      <c r="I33" s="20"/>
      <c r="J33" s="21"/>
      <c r="K33" s="22"/>
    </row>
    <row r="34" customFormat="false" ht="15" hidden="false" customHeight="false" outlineLevel="0" collapsed="false">
      <c r="A34" s="20"/>
      <c r="B34" s="20"/>
      <c r="C34" s="20"/>
      <c r="D34" s="20"/>
      <c r="E34" s="20"/>
      <c r="F34" s="21"/>
      <c r="G34" s="20"/>
      <c r="H34" s="20"/>
      <c r="I34" s="20"/>
      <c r="J34" s="21"/>
      <c r="K34" s="22"/>
    </row>
    <row r="35" customFormat="false" ht="15" hidden="false" customHeight="false" outlineLevel="0" collapsed="false">
      <c r="A35" s="20"/>
      <c r="B35" s="20"/>
      <c r="C35" s="20"/>
      <c r="D35" s="20"/>
      <c r="E35" s="20"/>
      <c r="F35" s="21"/>
      <c r="G35" s="20"/>
      <c r="H35" s="20"/>
      <c r="I35" s="20"/>
      <c r="J35" s="21"/>
      <c r="K35" s="22"/>
    </row>
    <row r="36" customFormat="false" ht="15" hidden="false" customHeight="false" outlineLevel="0" collapsed="false">
      <c r="A36" s="20"/>
      <c r="B36" s="20"/>
      <c r="C36" s="20"/>
      <c r="D36" s="20"/>
      <c r="E36" s="20"/>
      <c r="F36" s="21"/>
      <c r="G36" s="20"/>
      <c r="H36" s="20"/>
      <c r="I36" s="20"/>
      <c r="J36" s="21"/>
      <c r="K36" s="22"/>
    </row>
    <row r="37" customFormat="false" ht="15" hidden="false" customHeight="false" outlineLevel="0" collapsed="false">
      <c r="A37" s="20"/>
      <c r="B37" s="20"/>
      <c r="C37" s="20"/>
      <c r="D37" s="20"/>
      <c r="E37" s="20"/>
      <c r="F37" s="21"/>
      <c r="G37" s="20"/>
      <c r="H37" s="20"/>
      <c r="I37" s="20"/>
      <c r="J37" s="21"/>
      <c r="K37" s="22"/>
    </row>
    <row r="38" customFormat="false" ht="15" hidden="false" customHeight="false" outlineLevel="0" collapsed="false">
      <c r="A38" s="20"/>
      <c r="B38" s="20"/>
      <c r="C38" s="20"/>
      <c r="D38" s="20"/>
      <c r="E38" s="20"/>
      <c r="F38" s="21"/>
      <c r="G38" s="20"/>
      <c r="H38" s="20"/>
      <c r="I38" s="20"/>
      <c r="J38" s="21"/>
      <c r="K38" s="22"/>
    </row>
    <row r="39" customFormat="false" ht="15" hidden="false" customHeight="false" outlineLevel="0" collapsed="false">
      <c r="A39" s="20"/>
      <c r="B39" s="20"/>
      <c r="C39" s="20"/>
      <c r="D39" s="20"/>
      <c r="E39" s="20"/>
      <c r="F39" s="21"/>
      <c r="G39" s="20"/>
      <c r="H39" s="20"/>
      <c r="I39" s="20"/>
      <c r="J39" s="21"/>
      <c r="K39" s="22"/>
    </row>
    <row r="40" customFormat="false" ht="15" hidden="false" customHeight="false" outlineLevel="0" collapsed="false">
      <c r="A40" s="20"/>
      <c r="B40" s="20"/>
      <c r="C40" s="20"/>
      <c r="D40" s="20"/>
      <c r="E40" s="20"/>
      <c r="F40" s="21"/>
      <c r="G40" s="20"/>
      <c r="H40" s="20"/>
      <c r="I40" s="20"/>
      <c r="J40" s="21"/>
      <c r="K40" s="22"/>
    </row>
    <row r="41" customFormat="false" ht="15" hidden="false" customHeight="false" outlineLevel="0" collapsed="false">
      <c r="A41" s="20"/>
      <c r="B41" s="20"/>
      <c r="C41" s="20"/>
      <c r="D41" s="20"/>
      <c r="E41" s="20"/>
      <c r="F41" s="21"/>
      <c r="G41" s="20"/>
      <c r="H41" s="20"/>
      <c r="I41" s="20"/>
      <c r="J41" s="21"/>
      <c r="K41" s="22"/>
    </row>
    <row r="42" customFormat="false" ht="15" hidden="false" customHeight="false" outlineLevel="0" collapsed="false">
      <c r="A42" s="20"/>
      <c r="B42" s="20"/>
      <c r="C42" s="20"/>
      <c r="D42" s="20"/>
      <c r="E42" s="20"/>
      <c r="F42" s="21"/>
      <c r="G42" s="20"/>
      <c r="H42" s="20"/>
      <c r="I42" s="20"/>
      <c r="J42" s="21"/>
      <c r="K42" s="22"/>
    </row>
    <row r="43" customFormat="false" ht="15" hidden="false" customHeight="false" outlineLevel="0" collapsed="false">
      <c r="A43" s="20"/>
      <c r="B43" s="20"/>
      <c r="C43" s="20"/>
      <c r="D43" s="20"/>
      <c r="E43" s="20"/>
      <c r="F43" s="21"/>
      <c r="G43" s="20"/>
      <c r="H43" s="20"/>
      <c r="I43" s="20"/>
      <c r="J43" s="21"/>
      <c r="K43" s="22"/>
    </row>
    <row r="44" customFormat="false" ht="15" hidden="false" customHeight="false" outlineLevel="0" collapsed="false">
      <c r="A44" s="20"/>
      <c r="B44" s="20"/>
      <c r="C44" s="20"/>
      <c r="D44" s="20"/>
      <c r="E44" s="20"/>
      <c r="F44" s="21"/>
      <c r="G44" s="20"/>
      <c r="H44" s="20"/>
      <c r="I44" s="20"/>
      <c r="J44" s="21"/>
      <c r="K44" s="22"/>
    </row>
    <row r="45" customFormat="false" ht="15" hidden="false" customHeight="false" outlineLevel="0" collapsed="false">
      <c r="A45" s="20"/>
      <c r="B45" s="20"/>
      <c r="C45" s="20"/>
      <c r="D45" s="20"/>
      <c r="E45" s="20"/>
      <c r="F45" s="21"/>
      <c r="G45" s="20"/>
      <c r="H45" s="20"/>
      <c r="I45" s="20"/>
      <c r="J45" s="21"/>
      <c r="K45" s="22"/>
    </row>
    <row r="46" customFormat="false" ht="15" hidden="false" customHeight="false" outlineLevel="0" collapsed="false">
      <c r="A46" s="20"/>
      <c r="B46" s="20"/>
      <c r="C46" s="20"/>
      <c r="D46" s="20"/>
      <c r="E46" s="20"/>
      <c r="F46" s="21"/>
      <c r="G46" s="20"/>
      <c r="H46" s="20"/>
      <c r="I46" s="20"/>
      <c r="J46" s="21"/>
      <c r="K46" s="22"/>
    </row>
    <row r="47" customFormat="false" ht="15" hidden="false" customHeight="false" outlineLevel="0" collapsed="false">
      <c r="A47" s="20"/>
      <c r="B47" s="20"/>
      <c r="C47" s="20"/>
      <c r="D47" s="20"/>
      <c r="E47" s="20"/>
      <c r="F47" s="21"/>
      <c r="G47" s="20"/>
      <c r="H47" s="20"/>
      <c r="I47" s="20"/>
      <c r="J47" s="21"/>
      <c r="K47" s="22"/>
    </row>
    <row r="48" customFormat="false" ht="15" hidden="false" customHeight="false" outlineLevel="0" collapsed="false">
      <c r="A48" s="20"/>
      <c r="B48" s="20"/>
      <c r="C48" s="20"/>
      <c r="D48" s="20"/>
      <c r="E48" s="20"/>
      <c r="F48" s="21"/>
      <c r="G48" s="20"/>
      <c r="H48" s="20"/>
      <c r="I48" s="20"/>
      <c r="J48" s="21"/>
      <c r="K48" s="22"/>
    </row>
    <row r="49" customFormat="false" ht="15" hidden="false" customHeight="false" outlineLevel="0" collapsed="false">
      <c r="A49" s="20"/>
      <c r="B49" s="20"/>
      <c r="C49" s="20"/>
      <c r="D49" s="20"/>
      <c r="E49" s="20"/>
      <c r="F49" s="21"/>
      <c r="G49" s="20"/>
      <c r="H49" s="20"/>
      <c r="I49" s="20"/>
      <c r="J49" s="21"/>
      <c r="K49" s="22"/>
    </row>
    <row r="50" customFormat="false" ht="15" hidden="false" customHeight="false" outlineLevel="0" collapsed="false">
      <c r="A50" s="20"/>
      <c r="B50" s="20"/>
      <c r="C50" s="20"/>
      <c r="D50" s="20"/>
      <c r="E50" s="20"/>
      <c r="F50" s="21"/>
      <c r="G50" s="20"/>
      <c r="H50" s="20"/>
      <c r="I50" s="20"/>
      <c r="J50" s="21"/>
      <c r="K50" s="22"/>
    </row>
    <row r="51" customFormat="false" ht="15" hidden="false" customHeight="false" outlineLevel="0" collapsed="false">
      <c r="A51" s="20"/>
      <c r="B51" s="20"/>
      <c r="C51" s="20"/>
      <c r="D51" s="20"/>
      <c r="E51" s="20"/>
      <c r="F51" s="21"/>
      <c r="G51" s="20"/>
      <c r="H51" s="20"/>
      <c r="I51" s="20"/>
      <c r="J51" s="21"/>
      <c r="K51" s="22"/>
    </row>
    <row r="52" customFormat="false" ht="15" hidden="false" customHeight="false" outlineLevel="0" collapsed="false">
      <c r="A52" s="20"/>
      <c r="B52" s="20"/>
      <c r="C52" s="20"/>
      <c r="D52" s="20"/>
      <c r="E52" s="20"/>
      <c r="F52" s="21"/>
      <c r="G52" s="20"/>
      <c r="H52" s="20"/>
      <c r="I52" s="20"/>
      <c r="J52" s="21"/>
      <c r="K52" s="22"/>
    </row>
    <row r="53" customFormat="false" ht="15" hidden="false" customHeight="false" outlineLevel="0" collapsed="false">
      <c r="A53" s="20"/>
      <c r="B53" s="20"/>
      <c r="C53" s="20"/>
      <c r="D53" s="20"/>
      <c r="E53" s="20"/>
      <c r="F53" s="21"/>
      <c r="G53" s="20"/>
      <c r="H53" s="20"/>
      <c r="I53" s="20"/>
      <c r="J53" s="21"/>
      <c r="K53" s="22"/>
    </row>
    <row r="54" customFormat="false" ht="15" hidden="false" customHeight="false" outlineLevel="0" collapsed="false">
      <c r="A54" s="20"/>
      <c r="B54" s="20"/>
      <c r="C54" s="20"/>
      <c r="D54" s="20"/>
      <c r="E54" s="20"/>
      <c r="F54" s="21"/>
      <c r="G54" s="20"/>
      <c r="H54" s="20"/>
      <c r="I54" s="20"/>
      <c r="J54" s="21"/>
      <c r="K54" s="22"/>
    </row>
  </sheetData>
  <mergeCells count="1">
    <mergeCell ref="C2:E2"/>
  </mergeCells>
  <conditionalFormatting sqref="H5:H54">
    <cfRule type="expression" priority="2" aboveAverage="0" equalAverage="0" bottom="0" percent="0" rank="0" text="" dxfId="0">
      <formula>$H5="Compró"</formula>
    </cfRule>
    <cfRule type="expression" priority="3" aboveAverage="0" equalAverage="0" bottom="0" percent="0" rank="0" text="" dxfId="1">
      <formula>$H5="Interesado"</formula>
    </cfRule>
  </conditionalFormatting>
  <dataValidations count="3">
    <dataValidation allowBlank="true" error="Escoge un estado de la lista" errorStyle="stop" errorTitle="Estado" operator="between" showDropDown="false" showErrorMessage="true" showInputMessage="false" sqref="H5:H54" type="list">
      <formula1>"Por contactar,Contactado,Interesado,Compró,No por ahora"</formula1>
      <formula2>0</formula2>
    </dataValidation>
    <dataValidation allowBlank="true" error="Escribe una fecha, por ejemplo 04/11/2026" errorStyle="stop" errorTitle="Fecha" operator="greaterThan" showDropDown="false" showErrorMessage="true" showInputMessage="false" sqref="F5:F54 J5:J54" type="date">
      <formula1>DATE(2020,1,1)</formula1>
      <formula2>0</formula2>
    </dataValidation>
    <dataValidation allowBlank="true" error="Escribe un valor en pesos, sin signos" errorStyle="stop" errorTitle="Valor" operator="greaterThanOrEqual" showDropDown="false" showErrorMessage="true" showInputMessage="false" sqref="K5:K5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E82"/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8"/>
    <col collapsed="false" customWidth="true" hidden="false" outlineLevel="0" max="3" min="3" style="1" width="50"/>
  </cols>
  <sheetData>
    <row r="1" customFormat="false" ht="17.35" hidden="false" customHeight="false" outlineLevel="0" collapsed="false">
      <c r="A1" s="11" t="s">
        <v>71</v>
      </c>
    </row>
    <row r="2" customFormat="false" ht="15" hidden="false" customHeight="false" outlineLevel="0" collapsed="false">
      <c r="A2" s="23" t="s">
        <v>72</v>
      </c>
    </row>
    <row r="4" customFormat="false" ht="24" hidden="false" customHeight="true" outlineLevel="0" collapsed="false">
      <c r="A4" s="14" t="s">
        <v>24</v>
      </c>
      <c r="B4" s="14" t="s">
        <v>73</v>
      </c>
      <c r="C4" s="14" t="s">
        <v>74</v>
      </c>
    </row>
    <row r="5" customFormat="false" ht="15" hidden="false" customHeight="false" outlineLevel="0" collapsed="false">
      <c r="A5" s="24" t="s">
        <v>69</v>
      </c>
      <c r="B5" s="25" t="n">
        <f aca="false">COUNTIF('Mi CRM'!$H$5:$H$54,A5)</f>
        <v>1</v>
      </c>
      <c r="C5" s="26" t="s">
        <v>75</v>
      </c>
    </row>
    <row r="6" customFormat="false" ht="15" hidden="false" customHeight="false" outlineLevel="0" collapsed="false">
      <c r="A6" s="24" t="s">
        <v>53</v>
      </c>
      <c r="B6" s="25" t="n">
        <f aca="false">COUNTIF('Mi CRM'!$H$5:$H$54,A6)</f>
        <v>1</v>
      </c>
      <c r="C6" s="26" t="s">
        <v>76</v>
      </c>
    </row>
    <row r="7" customFormat="false" ht="15" hidden="false" customHeight="false" outlineLevel="0" collapsed="false">
      <c r="A7" s="24" t="s">
        <v>35</v>
      </c>
      <c r="B7" s="25" t="n">
        <f aca="false">COUNTIF('Mi CRM'!$H$5:$H$54,A7)</f>
        <v>1</v>
      </c>
      <c r="C7" s="26" t="s">
        <v>77</v>
      </c>
    </row>
    <row r="8" customFormat="false" ht="23.85" hidden="false" customHeight="false" outlineLevel="0" collapsed="false">
      <c r="A8" s="24" t="s">
        <v>44</v>
      </c>
      <c r="B8" s="25" t="n">
        <f aca="false">COUNTIF('Mi CRM'!$H$5:$H$54,A8)</f>
        <v>1</v>
      </c>
      <c r="C8" s="26" t="s">
        <v>78</v>
      </c>
    </row>
    <row r="9" customFormat="false" ht="15" hidden="false" customHeight="false" outlineLevel="0" collapsed="false">
      <c r="A9" s="24" t="s">
        <v>61</v>
      </c>
      <c r="B9" s="25" t="n">
        <f aca="false">COUNTIF('Mi CRM'!$H$5:$H$54,A9)</f>
        <v>1</v>
      </c>
      <c r="C9" s="26" t="s">
        <v>79</v>
      </c>
    </row>
    <row r="10" customFormat="false" ht="15" hidden="false" customHeight="false" outlineLevel="0" collapsed="false">
      <c r="A10" s="27" t="s">
        <v>80</v>
      </c>
      <c r="B10" s="28" t="n">
        <f aca="false">COUNTA('Mi CRM'!$A$5:$A$54)</f>
        <v>5</v>
      </c>
      <c r="C10" s="27"/>
    </row>
    <row r="12" customFormat="false" ht="15" hidden="false" customHeight="false" outlineLevel="0" collapsed="false">
      <c r="A12" s="29" t="s">
        <v>81</v>
      </c>
    </row>
    <row r="13" customFormat="false" ht="15" hidden="false" customHeight="false" outlineLevel="0" collapsed="false">
      <c r="A13" s="30" t="s">
        <v>82</v>
      </c>
      <c r="B13" s="31" t="n">
        <f aca="false">B6+B7+B8+B9</f>
        <v>4</v>
      </c>
    </row>
    <row r="14" customFormat="false" ht="15" hidden="false" customHeight="false" outlineLevel="0" collapsed="false">
      <c r="A14" s="30" t="s">
        <v>83</v>
      </c>
      <c r="B14" s="32" t="str">
        <f aca="false">IF(B13&gt;=3,"Sí: contactaste a "&amp;B13,"Te faltan "&amp;(3-B13)&amp;" por contactar")</f>
        <v>Sí: contactaste a 4</v>
      </c>
      <c r="C14" s="32"/>
    </row>
    <row r="15" customFormat="false" ht="15" hidden="false" customHeight="false" outlineLevel="0" collapsed="false">
      <c r="A15" s="30" t="s">
        <v>84</v>
      </c>
      <c r="B15" s="31" t="n">
        <f aca="false">B8</f>
        <v>1</v>
      </c>
    </row>
    <row r="16" customFormat="false" ht="15" hidden="false" customHeight="false" outlineLevel="0" collapsed="false">
      <c r="A16" s="30" t="s">
        <v>85</v>
      </c>
      <c r="B16" s="33" t="n">
        <f aca="false">SUMIF('Mi CRM'!$H$5:$H$54,"Compró",'Mi CRM'!$K$5:$K$54)</f>
        <v>60000</v>
      </c>
    </row>
    <row r="17" customFormat="false" ht="15" hidden="false" customHeight="false" outlineLevel="0" collapsed="false">
      <c r="A17" s="30" t="s">
        <v>86</v>
      </c>
      <c r="B17" s="34" t="n">
        <f aca="false">IFERROR(B15/B13,0)</f>
        <v>0.25</v>
      </c>
    </row>
    <row r="19" customFormat="false" ht="15" hidden="false" customHeight="false" outlineLevel="0" collapsed="false">
      <c r="A19" s="19" t="s">
        <v>87</v>
      </c>
    </row>
  </sheetData>
  <mergeCells count="1">
    <mergeCell ref="B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A93C"/>
    <pageSetUpPr fitToPage="fals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22"/>
    <col collapsed="false" customWidth="true" hidden="false" outlineLevel="0" max="3" min="3" style="1" width="62"/>
  </cols>
  <sheetData>
    <row r="1" customFormat="false" ht="17.35" hidden="false" customHeight="false" outlineLevel="0" collapsed="false">
      <c r="A1" s="11" t="s">
        <v>88</v>
      </c>
    </row>
    <row r="2" customFormat="false" ht="15" hidden="false" customHeight="false" outlineLevel="0" collapsed="false">
      <c r="A2" s="23" t="s">
        <v>89</v>
      </c>
    </row>
    <row r="4" customFormat="false" ht="15" hidden="false" customHeight="false" outlineLevel="0" collapsed="false">
      <c r="A4" s="29" t="s">
        <v>90</v>
      </c>
    </row>
    <row r="5" customFormat="false" ht="15" hidden="false" customHeight="false" outlineLevel="0" collapsed="false">
      <c r="A5" s="35" t="s">
        <v>91</v>
      </c>
      <c r="B5" s="36" t="s">
        <v>92</v>
      </c>
      <c r="C5" s="37" t="s">
        <v>93</v>
      </c>
    </row>
    <row r="6" customFormat="false" ht="27.75" hidden="false" customHeight="true" outlineLevel="0" collapsed="false">
      <c r="A6" s="35" t="s">
        <v>94</v>
      </c>
      <c r="B6" s="38" t="n">
        <v>480000</v>
      </c>
      <c r="C6" s="37" t="s">
        <v>95</v>
      </c>
    </row>
    <row r="7" customFormat="false" ht="27.75" hidden="false" customHeight="true" outlineLevel="0" collapsed="false">
      <c r="A7" s="35" t="s">
        <v>96</v>
      </c>
      <c r="B7" s="39" t="n">
        <v>84</v>
      </c>
      <c r="C7" s="37" t="s">
        <v>97</v>
      </c>
    </row>
    <row r="8" customFormat="false" ht="27.75" hidden="false" customHeight="true" outlineLevel="0" collapsed="false">
      <c r="A8" s="35" t="s">
        <v>98</v>
      </c>
      <c r="B8" s="38" t="n">
        <v>2400</v>
      </c>
      <c r="C8" s="37" t="s">
        <v>99</v>
      </c>
    </row>
    <row r="9" customFormat="false" ht="27.75" hidden="false" customHeight="true" outlineLevel="0" collapsed="false">
      <c r="A9" s="35" t="s">
        <v>100</v>
      </c>
      <c r="B9" s="40"/>
      <c r="C9" s="37" t="s">
        <v>101</v>
      </c>
    </row>
    <row r="11" customFormat="false" ht="15" hidden="false" customHeight="false" outlineLevel="0" collapsed="false">
      <c r="A11" s="29" t="s">
        <v>102</v>
      </c>
    </row>
    <row r="12" customFormat="false" ht="27.75" hidden="false" customHeight="true" outlineLevel="0" collapsed="false">
      <c r="A12" s="35" t="s">
        <v>103</v>
      </c>
      <c r="B12" s="33" t="n">
        <f aca="false">IF(B9&lt;&gt;"",B9,B7*B8)</f>
        <v>201600</v>
      </c>
      <c r="C12" s="37" t="s">
        <v>104</v>
      </c>
    </row>
    <row r="13" customFormat="false" ht="15" hidden="false" customHeight="false" outlineLevel="0" collapsed="false">
      <c r="A13" s="35" t="s">
        <v>105</v>
      </c>
      <c r="B13" s="33" t="n">
        <f aca="false">ROUND(B6*1.15,0)</f>
        <v>552000</v>
      </c>
      <c r="C13" s="37" t="s">
        <v>106</v>
      </c>
    </row>
    <row r="14" customFormat="false" ht="27.75" hidden="false" customHeight="true" outlineLevel="0" collapsed="false">
      <c r="A14" s="35" t="s">
        <v>107</v>
      </c>
      <c r="B14" s="31" t="str">
        <f aca="false">IF(B6="","",IF(B6&gt;=B12,"Por encima",IF(B13&gt;=B12,"Cerca","Por debajo")))</f>
        <v>Por encima</v>
      </c>
      <c r="C14" s="37" t="s">
        <v>108</v>
      </c>
    </row>
    <row r="15" customFormat="false" ht="27.75" hidden="false" customHeight="true" outlineLevel="0" collapsed="false">
      <c r="A15" s="35" t="s">
        <v>109</v>
      </c>
      <c r="B15" s="31" t="str">
        <f aca="false">IF(B6="","",IF(B12&gt;B13,"Alcanzar el punto de equilibrio","Crecer al menos 15 %"))</f>
        <v>Crecer al menos 15 %</v>
      </c>
      <c r="C15" s="37" t="s">
        <v>110</v>
      </c>
    </row>
    <row r="16" customFormat="false" ht="27.75" hidden="false" customHeight="true" outlineLevel="0" collapsed="false">
      <c r="A16" s="41" t="s">
        <v>111</v>
      </c>
      <c r="B16" s="42" t="n">
        <f aca="false">IF(B6="","",MAX(B12,B13))</f>
        <v>552000</v>
      </c>
      <c r="C16" s="37" t="s">
        <v>112</v>
      </c>
    </row>
    <row r="17" customFormat="false" ht="27.75" hidden="false" customHeight="true" outlineLevel="0" collapsed="false">
      <c r="A17" s="41" t="s">
        <v>113</v>
      </c>
      <c r="B17" s="42" t="n">
        <f aca="false">IF(B6="","",B16-B6)</f>
        <v>72000</v>
      </c>
      <c r="C17" s="37" t="s">
        <v>114</v>
      </c>
    </row>
    <row r="18" customFormat="false" ht="15" hidden="false" customHeight="false" outlineLevel="0" collapsed="false">
      <c r="A18" s="35" t="s">
        <v>115</v>
      </c>
      <c r="B18" s="43" t="n">
        <f aca="false">IF(OR(B6="",B6=0),"",B17/B6)</f>
        <v>0.15</v>
      </c>
    </row>
    <row r="20" customFormat="false" ht="15" hidden="false" customHeight="false" outlineLevel="0" collapsed="false">
      <c r="A20" s="29" t="s">
        <v>116</v>
      </c>
    </row>
    <row r="21" customFormat="false" ht="15" hidden="false" customHeight="false" outlineLevel="0" collapsed="false">
      <c r="A21" s="35" t="s">
        <v>117</v>
      </c>
      <c r="B21" s="36" t="s">
        <v>118</v>
      </c>
      <c r="C21" s="37" t="s">
        <v>119</v>
      </c>
    </row>
    <row r="22" customFormat="false" ht="15" hidden="false" customHeight="false" outlineLevel="0" collapsed="false">
      <c r="A22" s="35" t="s">
        <v>120</v>
      </c>
      <c r="B22" s="38" t="n">
        <v>9500</v>
      </c>
      <c r="C22" s="37" t="s">
        <v>121</v>
      </c>
    </row>
    <row r="23" customFormat="false" ht="27.75" hidden="false" customHeight="true" outlineLevel="0" collapsed="false">
      <c r="A23" s="44" t="s">
        <v>122</v>
      </c>
      <c r="B23" s="45" t="n">
        <f aca="false">IF(OR(B17="",B22="",B22=0),"",ROUNDUP(B17/B22,0))</f>
        <v>8</v>
      </c>
      <c r="C23" s="46" t="str">
        <f aca="false">IF(B23="","","Unas "&amp;B23&amp;" de «"&amp;B21&amp;"» por "&amp;LOWER(B5)&amp;", o una mezcla con otros productos y encargos.")</f>
        <v>Unas 8 de «Plan semanal» por semana, o una mezcla con otros productos y encargos.</v>
      </c>
    </row>
    <row r="25" customFormat="false" ht="30" hidden="false" customHeight="true" outlineLevel="0" collapsed="false">
      <c r="A25" s="47" t="s">
        <v>123</v>
      </c>
      <c r="B25" s="47"/>
      <c r="C25" s="47"/>
    </row>
  </sheetData>
  <mergeCells count="1">
    <mergeCell ref="A25:C25"/>
  </mergeCells>
  <dataValidations count="2">
    <dataValidation allowBlank="false" errorStyle="stop" operator="between" showDropDown="false" showErrorMessage="false" showInputMessage="false" sqref="B5" type="list">
      <formula1>"Semana,Mes,Día"</formula1>
      <formula2>0</formula2>
    </dataValidation>
    <dataValidation allowBlank="true" error="Escribe un número, sin signos" errorStyle="stop" errorTitle="Valor" operator="greaterThanOrEqual" showDropDown="false" showErrorMessage="true" showInputMessage="false" sqref="B6:B9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2026-09-27T11:38:54Z</dcterms:created>
  <dc:creator>openpyxl</dc:creator>
  <dc:description/>
  <dc:language>en-US</dc:language>
  <cp:lastModifiedBy/>
  <dcterms:modified xsi:type="dcterms:W3CDTF">2026-09-27T11:38:55Z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