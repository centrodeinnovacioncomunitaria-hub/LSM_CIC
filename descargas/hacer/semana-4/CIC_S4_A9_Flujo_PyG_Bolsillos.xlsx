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ómo usar" sheetId="1" state="visible" r:id="rId3"/>
    <sheet name="Flujo de caja" sheetId="2" state="visible" r:id="rId4"/>
    <sheet name="PyG" sheetId="3" state="visible" r:id="rId5"/>
    <sheet name="Cascada" sheetId="4" state="visible" r:id="rId6"/>
    <sheet name="Política de bolsill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<sst xmlns="http://schemas.openxmlformats.org/spreadsheetml/2006/main" count="112" uniqueCount="104">
  <si>
    <t xml:space="preserve">Tarea guiada: flujo de caja, PyG, cascada de utilidades y política de bolsillos (A9)</t>
  </si>
  <si>
    <t xml:space="preserve">Ruta HACER · Semanas 4 y 6 · Centro de Innovación Comunitario · Red de Mujeres del Caribe</t>
  </si>
  <si>
    <t xml:space="preserve">Para qué sirve</t>
  </si>
  <si>
    <t xml:space="preserve">Para saber si tu negocio ganó o perdió en dos semanas, cuánto te queda de verdad y cómo repartirlo en tus bolsillos de emergencia, crecimiento e innovación. Se revisa en la semana 6. Es un apoyo opcional: también se puede hacer en papel con la hoja impresa A9.</t>
  </si>
  <si>
    <t xml:space="preserve">Cómo se usa</t>
  </si>
  <si>
    <t xml:space="preserve">1. Hoja «Flujo de caja»: escribe el saldo inicial de la caja del negocio y la fecha del primer día. Cada día, anota en las celdas amarillas lo que entró y lo que salió (con ayuda de tu registro diario). El saldo se calcula solo.</t>
  </si>
  <si>
    <t xml:space="preserve">2. Hoja «PyG»: se llena sola con los totales del flujo. Solo escribe, si las hubo, las ventas fiadas de estas dos semanas que todavía no te han pagado.</t>
  </si>
  <si>
    <t xml:space="preserve">3. Hoja «Cascada»: escribe cuánto de tus cuotas de préstamos fue interés y si pagaste impuestos del negocio. La hoja baja de la utilidad operacional a la neta y a la líquida, y revisa que cuadre con tu caja.</t>
  </si>
  <si>
    <t xml:space="preserve">4. Hoja «Política de bolsillos»: escribe qué porcentaje de tu utilidad líquida va a cada bolsillo (deben sumar 100 %). Luego pasa esos valores a los bolsillos de tu billetera digital, a sobres o a alcancías.</t>
  </si>
  <si>
    <t xml:space="preserve">Importante</t>
  </si>
  <si>
    <t xml:space="preserve">Las filas con fondo crema y letra gris son un EJEMPLO (Marta, jugos naturales; dos semanas de clases; caso ilustrativo). Bórralas o escribe encima antes de usar la hoja con tus datos.</t>
  </si>
  <si>
    <t xml:space="preserve">«Me pagué» es el pago de tu trabajo (lo que calculaste en A8). Lo que saques para la casa además de eso va en «Otros retiros para la casa».</t>
  </si>
  <si>
    <t xml:space="preserve">Utilidad operacional = ventas − costos − gastos.  Utilidad neta = operacional − intereses − impuestos.  Utilidad líquida = lo que de verdad queda para ahorrar, reinvertir o repartir.</t>
  </si>
  <si>
    <t xml:space="preserve">Leyenda</t>
  </si>
  <si>
    <t xml:space="preserve">Celda amarilla = la llenas tú.   Celda blanca = se calcula sola, no la borres.</t>
  </si>
  <si>
    <t xml:space="preserve">Flujo de caja de dos semanas</t>
  </si>
  <si>
    <t xml:space="preserve">Saldo inicial de la caja del negocio:</t>
  </si>
  <si>
    <t xml:space="preserve">Fecha del primer día:</t>
  </si>
  <si>
    <t xml:space="preserve">Fecha</t>
  </si>
  <si>
    <t xml:space="preserve">Día</t>
  </si>
  <si>
    <t xml:space="preserve">Ventas de contado</t>
  </si>
  <si>
    <t xml:space="preserve">Cobros de fiados de antes</t>
  </si>
  <si>
    <t xml:space="preserve">Préstamos o aportes recibidos</t>
  </si>
  <si>
    <t xml:space="preserve">Materia prima</t>
  </si>
  <si>
    <t xml:space="preserve">Costos indirectos</t>
  </si>
  <si>
    <t xml:space="preserve">Gastos (arriendo, bodegaje, recargas…)</t>
  </si>
  <si>
    <t xml:space="preserve">Cuotas de préstamos</t>
  </si>
  <si>
    <t xml:space="preserve">Me pagué (mi trabajo)</t>
  </si>
  <si>
    <t xml:space="preserve">Otros retiros para la casa</t>
  </si>
  <si>
    <t xml:space="preserve">Nota</t>
  </si>
  <si>
    <t xml:space="preserve">Total entró</t>
  </si>
  <si>
    <t xml:space="preserve">Total salió</t>
  </si>
  <si>
    <t xml:space="preserve">Saldo de la caja</t>
  </si>
  <si>
    <t xml:space="preserve">Bodegaje del carrito (quincena)</t>
  </si>
  <si>
    <t xml:space="preserve">Recarga del celular</t>
  </si>
  <si>
    <t xml:space="preserve">Mantenimiento de licuadora y carrito</t>
  </si>
  <si>
    <t xml:space="preserve">Aporte por el uso del espacio</t>
  </si>
  <si>
    <t xml:space="preserve">Útiles escolares</t>
  </si>
  <si>
    <t xml:space="preserve">Totales</t>
  </si>
  <si>
    <t xml:space="preserve">Saldo = saldo del día anterior + total entró − total salió. Los fines de semana, si no vendes, deja la fila en blanco.</t>
  </si>
  <si>
    <t xml:space="preserve">Las filas crema son el ejemplo de Marta: bórralas o escribe encima.</t>
  </si>
  <si>
    <t xml:space="preserve">Estado de resultados (PyG) sencillo · dos semanas</t>
  </si>
  <si>
    <t xml:space="preserve">Concepto</t>
  </si>
  <si>
    <t xml:space="preserve">Valor</t>
  </si>
  <si>
    <t xml:space="preserve">De dónde sale</t>
  </si>
  <si>
    <t xml:space="preserve">Total de «Ventas de contado» del flujo</t>
  </si>
  <si>
    <t xml:space="preserve">Ventas fiadas de estas semanas que todavía no te pagan</t>
  </si>
  <si>
    <t xml:space="preserve">Escríbelas tú (celda amarilla)</t>
  </si>
  <si>
    <t xml:space="preserve">Ventas de las dos semanas</t>
  </si>
  <si>
    <t xml:space="preserve">− Materia prima</t>
  </si>
  <si>
    <t xml:space="preserve">Flujo de caja</t>
  </si>
  <si>
    <t xml:space="preserve">− Mano de obra (lo que me pagué)</t>
  </si>
  <si>
    <t xml:space="preserve">− Costos indirectos</t>
  </si>
  <si>
    <t xml:space="preserve">= Margen de contribución</t>
  </si>
  <si>
    <t xml:space="preserve">Ventas − costos de lo vendido</t>
  </si>
  <si>
    <t xml:space="preserve">− Gastos</t>
  </si>
  <si>
    <t xml:space="preserve">Flujo de caja (sin cuotas de préstamos)</t>
  </si>
  <si>
    <t xml:space="preserve">= Utilidad operacional</t>
  </si>
  <si>
    <t xml:space="preserve">Margen − gastos</t>
  </si>
  <si>
    <t xml:space="preserve">¿El negocio ganó en estas dos semanas?</t>
  </si>
  <si>
    <t xml:space="preserve">Cascada de utilidades</t>
  </si>
  <si>
    <t xml:space="preserve">Escalón</t>
  </si>
  <si>
    <t xml:space="preserve">Utilidad operacional</t>
  </si>
  <si>
    <t xml:space="preserve">Hoja PyG</t>
  </si>
  <si>
    <t xml:space="preserve">− Intereses de préstamos del negocio</t>
  </si>
  <si>
    <t xml:space="preserve">Escríbelo tú: de tus cuotas, cuánto fue interés</t>
  </si>
  <si>
    <t xml:space="preserve">− Impuestos del negocio</t>
  </si>
  <si>
    <t xml:space="preserve">Escríbelo tú, si pagaste en el periodo</t>
  </si>
  <si>
    <t xml:space="preserve">= Utilidad neta</t>
  </si>
  <si>
    <t xml:space="preserve">Operacional − intereses − impuestos</t>
  </si>
  <si>
    <t xml:space="preserve">− Abonos a deudas (capital)</t>
  </si>
  <si>
    <t xml:space="preserve">Cuotas pagadas − intereses</t>
  </si>
  <si>
    <t xml:space="preserve">− Otros retiros para la casa</t>
  </si>
  <si>
    <t xml:space="preserve">Lo que sacaste además de tu pago</t>
  </si>
  <si>
    <t xml:space="preserve">− Ventas fiadas que todavía no te pagan</t>
  </si>
  <si>
    <t xml:space="preserve">+ Fiados de antes que cobraste</t>
  </si>
  <si>
    <t xml:space="preserve">= Utilidad líquida</t>
  </si>
  <si>
    <t xml:space="preserve">Lo que de verdad queda para ahorrar, reinvertir o repartir</t>
  </si>
  <si>
    <t xml:space="preserve">Revisión con la caja</t>
  </si>
  <si>
    <t xml:space="preserve">Lo que creció la caja (saldo final − saldo inicial)</t>
  </si>
  <si>
    <t xml:space="preserve">− Préstamos o aportes recibidos (no son utilidad)</t>
  </si>
  <si>
    <t xml:space="preserve">= Debe ser igual a la utilidad líquida</t>
  </si>
  <si>
    <t xml:space="preserve">¿Cuadra?</t>
  </si>
  <si>
    <t xml:space="preserve">Mi política de bolsillos</t>
  </si>
  <si>
    <t xml:space="preserve">Utilidad líquida para repartir</t>
  </si>
  <si>
    <t xml:space="preserve">Bolsillo</t>
  </si>
  <si>
    <t xml:space="preserve">Para qué es</t>
  </si>
  <si>
    <t xml:space="preserve">% (tú decides)</t>
  </si>
  <si>
    <t xml:space="preserve">Dónde lo guardo</t>
  </si>
  <si>
    <t xml:space="preserve">Emergencia</t>
  </si>
  <si>
    <t xml:space="preserve">Imprevistos: una enfermedad, un equipo dañado, semanas sin ventas.</t>
  </si>
  <si>
    <t xml:space="preserve">Bolsillo «Emergencia» de la billetera digital</t>
  </si>
  <si>
    <t xml:space="preserve">Crecimiento</t>
  </si>
  <si>
    <t xml:space="preserve">Invertir en el negocio: equipos, más mercancía, un producto nuevo.</t>
  </si>
  <si>
    <t xml:space="preserve">Bolsillo «Crecimiento»</t>
  </si>
  <si>
    <t xml:space="preserve">Innovación</t>
  </si>
  <si>
    <t xml:space="preserve">Probar cosas nuevas: muestras, empaques, un curso.</t>
  </si>
  <si>
    <t xml:space="preserve">Bolsillo «Innovación»</t>
  </si>
  <si>
    <t xml:space="preserve">Total</t>
  </si>
  <si>
    <t xml:space="preserve">¿Suma 100 %?</t>
  </si>
  <si>
    <t xml:space="preserve">Meta del fondo de emergencia</t>
  </si>
  <si>
    <t xml:space="preserve">Gastos que pagas en un mes (buena meta para el fondo)</t>
  </si>
  <si>
    <t xml:space="preserve">¿En cuántas quincenas llenas el fondo, al ritmo de hoy?</t>
  </si>
  <si>
    <t xml:space="preserve">Crea tres bolsillos en tu billetera digital (o usa tres sobres o alcancías) y pasa a cada uno su valor cada vez que calcules tu utilidad líquida. El bolsillo de emergencia no se toca para gastos de todos los días.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</si>
</sst>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$ &quot;#,##0;&quot;-$ &quot;#,##0;\-"/>
    <numFmt numFmtId="166" formatCode="dd/mm/yyyy"/>
    <numFmt numFmtId="167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C48"/>
      <name val="Arial"/>
      <family val="0"/>
      <charset val="1"/>
    </font>
    <font>
      <sz val="10"/>
      <color rgb="FF5A6B70"/>
      <name val="Arial"/>
      <family val="0"/>
      <charset val="1"/>
    </font>
    <font>
      <b val="true"/>
      <sz val="12"/>
      <color rgb="FF2E6E82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E1673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color rgb="FF173C48"/>
      <name val="Arial"/>
      <family val="0"/>
      <charset val="1"/>
    </font>
    <font>
      <i val="true"/>
      <sz val="10"/>
      <color rgb="FF5A6B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A6B70"/>
      <name val="Arial"/>
      <family val="0"/>
      <charset val="1"/>
    </font>
    <font>
      <i val="true"/>
      <sz val="9"/>
      <color rgb="FFE1673C"/>
      <name val="Arial"/>
      <family val="0"/>
      <charset val="1"/>
    </font>
    <font>
      <b val="true"/>
      <sz val="10"/>
      <color rgb="FF173C48"/>
      <name val="Arial"/>
      <family val="0"/>
      <charset val="1"/>
    </font>
    <font>
      <b val="true"/>
      <sz val="11"/>
      <color rgb="FF2E6E8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4CC"/>
        <bgColor rgb="FFF6F1E7"/>
      </patternFill>
    </fill>
    <fill>
      <patternFill patternType="solid">
        <fgColor rgb="FFF6F1E7"/>
        <bgColor rgb="FFFFF4CC"/>
      </patternFill>
    </fill>
    <fill>
      <patternFill patternType="solid">
        <fgColor rgb="FF173C48"/>
        <bgColor rgb="FF333333"/>
      </patternFill>
    </fill>
    <fill>
      <patternFill patternType="solid">
        <fgColor rgb="FF2E6E82"/>
        <bgColor rgb="FF5A6B70"/>
      </patternFill>
    </fill>
    <fill>
      <patternFill patternType="solid">
        <fgColor rgb="FFF7E6C4"/>
        <bgColor rgb="FFF8DC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3"/>
      </left>
      <right style="thin">
        <color rgb="FFD9D2C3"/>
      </right>
      <top style="thin">
        <color rgb="FFD9D2C3"/>
      </top>
      <bottom style="thin">
        <color rgb="FFD9D2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42318"/>
      </font>
      <fill>
        <patternFill>
          <bgColor rgb="FFF8DCD0"/>
        </patternFill>
      </fill>
    </dxf>
    <dxf>
      <fill>
        <patternFill>
          <bgColor rgb="FFF8DCD0"/>
        </patternFill>
      </fill>
    </dxf>
    <dxf>
      <fill>
        <patternFill>
          <bgColor rgb="FFD6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82"/>
      <rgbColor rgb="FFD9D2C3"/>
      <rgbColor rgb="FF808080"/>
      <rgbColor rgb="FF9999FF"/>
      <rgbColor rgb="FF993366"/>
      <rgbColor rgb="FFFFF4CC"/>
      <rgbColor rgb="FFD6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1E7"/>
      <rgbColor rgb="FFCCFFCC"/>
      <rgbColor rgb="FFF7E6C4"/>
      <rgbColor rgb="FF99CCFF"/>
      <rgbColor rgb="FFFF99CC"/>
      <rgbColor rgb="FFCC99FF"/>
      <rgbColor rgb="FFF8DCD0"/>
      <rgbColor rgb="FF3366FF"/>
      <rgbColor rgb="FF33CCCC"/>
      <rgbColor rgb="FF99CC00"/>
      <rgbColor rgb="FFFFCC00"/>
      <rgbColor rgb="FFE7A93C"/>
      <rgbColor rgb="FFE1673C"/>
      <rgbColor rgb="FF5A6B70"/>
      <rgbColor rgb="FF969696"/>
      <rgbColor rgb="FF173C48"/>
      <rgbColor rgb="FF339966"/>
      <rgbColor rgb="FF00330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1673C"/>
    <pageSetUpPr fitToPage="false"/>
  </sheetPr>
  <dimension ref="B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5"/>
  </cols>
  <sheetData>
    <row r="1" customFormat="false" ht="35.8" hidden="false" customHeight="false" outlineLevel="0" collapsed="false">
      <c r="B1" s="2" t="s">
        <v>0</v>
      </c>
    </row>
    <row r="2" customFormat="false" ht="15" hidden="false" customHeight="false" outlineLevel="0" collapsed="false">
      <c r="B2" s="3" t="s">
        <v>1</v>
      </c>
    </row>
    <row r="3" customFormat="false" ht="15" hidden="false" customHeight="false" outlineLevel="0" collapsed="false">
      <c r="B3" s="4"/>
    </row>
    <row r="4" customFormat="false" ht="15" hidden="false" customHeight="false" outlineLevel="0" collapsed="false">
      <c r="B4" s="5" t="s">
        <v>2</v>
      </c>
    </row>
    <row r="5" customFormat="false" ht="35.05" hidden="false" customHeight="false" outlineLevel="0" collapsed="false">
      <c r="B5" s="6" t="s">
        <v>3</v>
      </c>
    </row>
    <row r="6" customFormat="false" ht="15" hidden="false" customHeight="false" outlineLevel="0" collapsed="false">
      <c r="B6" s="4"/>
    </row>
    <row r="7" customFormat="false" ht="15" hidden="false" customHeight="false" outlineLevel="0" collapsed="false">
      <c r="B7" s="5" t="s">
        <v>4</v>
      </c>
    </row>
    <row r="8" customFormat="false" ht="23.85" hidden="false" customHeight="false" outlineLevel="0" collapsed="false">
      <c r="B8" s="6" t="s">
        <v>5</v>
      </c>
    </row>
    <row r="9" customFormat="false" ht="23.85" hidden="false" customHeight="false" outlineLevel="0" collapsed="false">
      <c r="B9" s="6" t="s">
        <v>6</v>
      </c>
    </row>
    <row r="10" customFormat="false" ht="23.85" hidden="false" customHeight="false" outlineLevel="0" collapsed="false">
      <c r="B10" s="6" t="s">
        <v>7</v>
      </c>
    </row>
    <row r="11" customFormat="false" ht="23.85" hidden="false" customHeight="false" outlineLevel="0" collapsed="false">
      <c r="B11" s="6" t="s">
        <v>8</v>
      </c>
    </row>
    <row r="12" customFormat="false" ht="15" hidden="false" customHeight="false" outlineLevel="0" collapsed="false">
      <c r="B12" s="4"/>
    </row>
    <row r="13" customFormat="false" ht="15" hidden="false" customHeight="false" outlineLevel="0" collapsed="false">
      <c r="B13" s="7" t="s">
        <v>9</v>
      </c>
    </row>
    <row r="14" customFormat="false" ht="23.85" hidden="false" customHeight="false" outlineLevel="0" collapsed="false">
      <c r="B14" s="8" t="s">
        <v>10</v>
      </c>
    </row>
    <row r="15" customFormat="false" ht="23.85" hidden="false" customHeight="false" outlineLevel="0" collapsed="false">
      <c r="B15" s="6" t="s">
        <v>11</v>
      </c>
    </row>
    <row r="16" customFormat="false" ht="23.85" hidden="false" customHeight="false" outlineLevel="0" collapsed="false">
      <c r="B16" s="9" t="s">
        <v>12</v>
      </c>
    </row>
    <row r="17" customFormat="false" ht="15" hidden="false" customHeight="false" outlineLevel="0" collapsed="false">
      <c r="B17" s="4"/>
    </row>
    <row r="18" customFormat="false" ht="15" hidden="false" customHeight="false" outlineLevel="0" collapsed="false">
      <c r="B18" s="5" t="s">
        <v>13</v>
      </c>
    </row>
    <row r="19" customFormat="false" ht="15" hidden="false" customHeight="false" outlineLevel="0" collapsed="false">
      <c r="B19" s="1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C48"/>
    <pageSetUpPr fitToPage="false"/>
  </sheetPr>
  <dimension ref="A1:O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7" min="3" style="1" width="13"/>
    <col collapsed="false" customWidth="true" hidden="false" outlineLevel="0" max="8" min="8" style="1" width="17"/>
    <col collapsed="false" customWidth="true" hidden="false" outlineLevel="0" max="9" min="9" style="1" width="12"/>
    <col collapsed="false" customWidth="true" hidden="false" outlineLevel="0" max="11" min="10" style="1" width="13"/>
    <col collapsed="false" customWidth="true" hidden="false" outlineLevel="0" max="12" min="12" style="1" width="30"/>
    <col collapsed="false" customWidth="true" hidden="false" outlineLevel="0" max="14" min="13" style="1" width="13"/>
    <col collapsed="false" customWidth="true" hidden="false" outlineLevel="0" max="15" min="15" style="1" width="14"/>
  </cols>
  <sheetData>
    <row r="1" customFormat="false" ht="17.35" hidden="false" customHeight="false" outlineLevel="0" collapsed="false">
      <c r="A1" s="11" t="s">
        <v>15</v>
      </c>
    </row>
    <row r="2" customFormat="false" ht="15" hidden="false" customHeight="false" outlineLevel="0" collapsed="false">
      <c r="A2" s="12" t="s">
        <v>16</v>
      </c>
      <c r="D2" s="13" t="n">
        <v>50000</v>
      </c>
    </row>
    <row r="3" customFormat="false" ht="15" hidden="false" customHeight="false" outlineLevel="0" collapsed="false">
      <c r="A3" s="12" t="s">
        <v>17</v>
      </c>
      <c r="D3" s="14" t="n">
        <v>46300</v>
      </c>
    </row>
    <row r="5" customFormat="false" ht="45.75" hidden="false" customHeight="true" outlineLevel="0" collapsed="false">
      <c r="A5" s="15" t="s">
        <v>18</v>
      </c>
      <c r="B5" s="15" t="s">
        <v>19</v>
      </c>
      <c r="C5" s="16" t="s">
        <v>20</v>
      </c>
      <c r="D5" s="16" t="s">
        <v>21</v>
      </c>
      <c r="E5" s="16" t="s">
        <v>22</v>
      </c>
      <c r="F5" s="15" t="s">
        <v>23</v>
      </c>
      <c r="G5" s="15" t="s">
        <v>24</v>
      </c>
      <c r="H5" s="15" t="s">
        <v>25</v>
      </c>
      <c r="I5" s="15" t="s">
        <v>26</v>
      </c>
      <c r="J5" s="15" t="s">
        <v>27</v>
      </c>
      <c r="K5" s="15" t="s">
        <v>28</v>
      </c>
      <c r="L5" s="15" t="s">
        <v>29</v>
      </c>
      <c r="M5" s="15" t="s">
        <v>30</v>
      </c>
      <c r="N5" s="15" t="s">
        <v>31</v>
      </c>
      <c r="O5" s="15" t="s">
        <v>32</v>
      </c>
    </row>
    <row r="6" customFormat="false" ht="15" hidden="false" customHeight="false" outlineLevel="0" collapsed="false">
      <c r="A6" s="17" t="n">
        <f aca="false">$D$3+0</f>
        <v>46300</v>
      </c>
      <c r="B6" s="18" t="str">
        <f aca="false">CHOOSE(WEEKDAY(A6,2),"Lunes","Martes","Miércoles","Jueves","Viernes","Sábado","Domingo")</f>
        <v>Lunes</v>
      </c>
      <c r="C6" s="13" t="n">
        <v>96000</v>
      </c>
      <c r="D6" s="19"/>
      <c r="E6" s="19"/>
      <c r="F6" s="13" t="n">
        <v>49200</v>
      </c>
      <c r="G6" s="13" t="n">
        <v>6800</v>
      </c>
      <c r="H6" s="13" t="n">
        <v>40000</v>
      </c>
      <c r="I6" s="19"/>
      <c r="J6" s="13" t="n">
        <v>18400</v>
      </c>
      <c r="K6" s="19"/>
      <c r="L6" s="20" t="s">
        <v>33</v>
      </c>
      <c r="M6" s="21" t="n">
        <f aca="false">SUM(C6:E6)</f>
        <v>96000</v>
      </c>
      <c r="N6" s="21" t="n">
        <f aca="false">SUM(F6:K6)</f>
        <v>114400</v>
      </c>
      <c r="O6" s="21" t="n">
        <f aca="false">$D$2+M6-N6</f>
        <v>31600</v>
      </c>
    </row>
    <row r="7" customFormat="false" ht="15" hidden="false" customHeight="false" outlineLevel="0" collapsed="false">
      <c r="A7" s="17" t="n">
        <f aca="false">$D$3+1</f>
        <v>46301</v>
      </c>
      <c r="B7" s="18" t="str">
        <f aca="false">CHOOSE(WEEKDAY(A7,2),"Lunes","Martes","Miércoles","Jueves","Viernes","Sábado","Domingo")</f>
        <v>Martes</v>
      </c>
      <c r="C7" s="13" t="n">
        <v>96000</v>
      </c>
      <c r="D7" s="19"/>
      <c r="E7" s="19"/>
      <c r="F7" s="13" t="n">
        <v>49200</v>
      </c>
      <c r="G7" s="13" t="n">
        <v>6800</v>
      </c>
      <c r="H7" s="19"/>
      <c r="I7" s="19"/>
      <c r="J7" s="13" t="n">
        <v>18400</v>
      </c>
      <c r="K7" s="19"/>
      <c r="L7" s="22"/>
      <c r="M7" s="21" t="n">
        <f aca="false">SUM(C7:E7)</f>
        <v>96000</v>
      </c>
      <c r="N7" s="21" t="n">
        <f aca="false">SUM(F7:K7)</f>
        <v>74400</v>
      </c>
      <c r="O7" s="21" t="n">
        <f aca="false">O6+M7-N7</f>
        <v>53200</v>
      </c>
    </row>
    <row r="8" customFormat="false" ht="15" hidden="false" customHeight="false" outlineLevel="0" collapsed="false">
      <c r="A8" s="17" t="n">
        <f aca="false">$D$3+2</f>
        <v>46302</v>
      </c>
      <c r="B8" s="18" t="str">
        <f aca="false">CHOOSE(WEEKDAY(A8,2),"Lunes","Martes","Miércoles","Jueves","Viernes","Sábado","Domingo")</f>
        <v>Miércoles</v>
      </c>
      <c r="C8" s="13" t="n">
        <v>96000</v>
      </c>
      <c r="D8" s="19"/>
      <c r="E8" s="19"/>
      <c r="F8" s="13" t="n">
        <v>49200</v>
      </c>
      <c r="G8" s="13" t="n">
        <v>6800</v>
      </c>
      <c r="H8" s="13" t="n">
        <v>15000</v>
      </c>
      <c r="I8" s="19"/>
      <c r="J8" s="13" t="n">
        <v>18400</v>
      </c>
      <c r="K8" s="19"/>
      <c r="L8" s="20" t="s">
        <v>34</v>
      </c>
      <c r="M8" s="21" t="n">
        <f aca="false">SUM(C8:E8)</f>
        <v>96000</v>
      </c>
      <c r="N8" s="21" t="n">
        <f aca="false">SUM(F8:K8)</f>
        <v>89400</v>
      </c>
      <c r="O8" s="21" t="n">
        <f aca="false">O7+M8-N8</f>
        <v>59800</v>
      </c>
    </row>
    <row r="9" customFormat="false" ht="15" hidden="false" customHeight="false" outlineLevel="0" collapsed="false">
      <c r="A9" s="17" t="n">
        <f aca="false">$D$3+3</f>
        <v>46303</v>
      </c>
      <c r="B9" s="18" t="str">
        <f aca="false">CHOOSE(WEEKDAY(A9,2),"Lunes","Martes","Miércoles","Jueves","Viernes","Sábado","Domingo")</f>
        <v>Jueves</v>
      </c>
      <c r="C9" s="13" t="n">
        <v>96000</v>
      </c>
      <c r="D9" s="19"/>
      <c r="E9" s="19"/>
      <c r="F9" s="13" t="n">
        <v>49200</v>
      </c>
      <c r="G9" s="13" t="n">
        <v>6800</v>
      </c>
      <c r="H9" s="19"/>
      <c r="I9" s="19"/>
      <c r="J9" s="13" t="n">
        <v>18400</v>
      </c>
      <c r="K9" s="19"/>
      <c r="L9" s="22"/>
      <c r="M9" s="21" t="n">
        <f aca="false">SUM(C9:E9)</f>
        <v>96000</v>
      </c>
      <c r="N9" s="21" t="n">
        <f aca="false">SUM(F9:K9)</f>
        <v>74400</v>
      </c>
      <c r="O9" s="21" t="n">
        <f aca="false">O8+M9-N9</f>
        <v>81400</v>
      </c>
    </row>
    <row r="10" customFormat="false" ht="15" hidden="false" customHeight="false" outlineLevel="0" collapsed="false">
      <c r="A10" s="17" t="n">
        <f aca="false">$D$3+4</f>
        <v>46304</v>
      </c>
      <c r="B10" s="18" t="str">
        <f aca="false">CHOOSE(WEEKDAY(A10,2),"Lunes","Martes","Miércoles","Jueves","Viernes","Sábado","Domingo")</f>
        <v>Viernes</v>
      </c>
      <c r="C10" s="13" t="n">
        <v>96000</v>
      </c>
      <c r="D10" s="19"/>
      <c r="E10" s="19"/>
      <c r="F10" s="13" t="n">
        <v>49200</v>
      </c>
      <c r="G10" s="13" t="n">
        <v>6800</v>
      </c>
      <c r="H10" s="13" t="n">
        <v>20000</v>
      </c>
      <c r="I10" s="19"/>
      <c r="J10" s="13" t="n">
        <v>18400</v>
      </c>
      <c r="K10" s="19"/>
      <c r="L10" s="20" t="s">
        <v>35</v>
      </c>
      <c r="M10" s="21" t="n">
        <f aca="false">SUM(C10:E10)</f>
        <v>96000</v>
      </c>
      <c r="N10" s="21" t="n">
        <f aca="false">SUM(F10:K10)</f>
        <v>94400</v>
      </c>
      <c r="O10" s="21" t="n">
        <f aca="false">O9+M10-N10</f>
        <v>83000</v>
      </c>
    </row>
    <row r="11" customFormat="false" ht="15" hidden="false" customHeight="false" outlineLevel="0" collapsed="false">
      <c r="A11" s="17" t="n">
        <f aca="false">$D$3+5</f>
        <v>46305</v>
      </c>
      <c r="B11" s="18" t="str">
        <f aca="false">CHOOSE(WEEKDAY(A11,2),"Lunes","Martes","Miércoles","Jueves","Viernes","Sábado","Domingo")</f>
        <v>Sábado</v>
      </c>
      <c r="C11" s="19"/>
      <c r="D11" s="19"/>
      <c r="E11" s="19"/>
      <c r="F11" s="19"/>
      <c r="G11" s="19"/>
      <c r="H11" s="19"/>
      <c r="I11" s="19"/>
      <c r="J11" s="19"/>
      <c r="K11" s="19"/>
      <c r="L11" s="22"/>
      <c r="M11" s="21" t="n">
        <f aca="false">SUM(C11:E11)</f>
        <v>0</v>
      </c>
      <c r="N11" s="21" t="n">
        <f aca="false">SUM(F11:K11)</f>
        <v>0</v>
      </c>
      <c r="O11" s="21" t="n">
        <f aca="false">O10+M11-N11</f>
        <v>83000</v>
      </c>
    </row>
    <row r="12" customFormat="false" ht="15" hidden="false" customHeight="false" outlineLevel="0" collapsed="false">
      <c r="A12" s="17" t="n">
        <f aca="false">$D$3+6</f>
        <v>46306</v>
      </c>
      <c r="B12" s="18" t="str">
        <f aca="false">CHOOSE(WEEKDAY(A12,2),"Lunes","Martes","Miércoles","Jueves","Viernes","Sábado","Domingo")</f>
        <v>Domingo</v>
      </c>
      <c r="C12" s="19"/>
      <c r="D12" s="19"/>
      <c r="E12" s="19"/>
      <c r="F12" s="19"/>
      <c r="G12" s="19"/>
      <c r="H12" s="19"/>
      <c r="I12" s="19"/>
      <c r="J12" s="19"/>
      <c r="K12" s="19"/>
      <c r="L12" s="22"/>
      <c r="M12" s="21" t="n">
        <f aca="false">SUM(C12:E12)</f>
        <v>0</v>
      </c>
      <c r="N12" s="21" t="n">
        <f aca="false">SUM(F12:K12)</f>
        <v>0</v>
      </c>
      <c r="O12" s="21" t="n">
        <f aca="false">O11+M12-N12</f>
        <v>83000</v>
      </c>
    </row>
    <row r="13" customFormat="false" ht="15" hidden="false" customHeight="false" outlineLevel="0" collapsed="false">
      <c r="A13" s="17" t="n">
        <f aca="false">$D$3+7</f>
        <v>46307</v>
      </c>
      <c r="B13" s="18" t="str">
        <f aca="false">CHOOSE(WEEKDAY(A13,2),"Lunes","Martes","Miércoles","Jueves","Viernes","Sábado","Domingo")</f>
        <v>Lunes</v>
      </c>
      <c r="C13" s="13" t="n">
        <v>96000</v>
      </c>
      <c r="D13" s="19"/>
      <c r="E13" s="19"/>
      <c r="F13" s="13" t="n">
        <v>49200</v>
      </c>
      <c r="G13" s="13" t="n">
        <v>6800</v>
      </c>
      <c r="H13" s="13" t="n">
        <v>15000</v>
      </c>
      <c r="I13" s="19"/>
      <c r="J13" s="13" t="n">
        <v>18400</v>
      </c>
      <c r="K13" s="19"/>
      <c r="L13" s="20" t="s">
        <v>36</v>
      </c>
      <c r="M13" s="21" t="n">
        <f aca="false">SUM(C13:E13)</f>
        <v>96000</v>
      </c>
      <c r="N13" s="21" t="n">
        <f aca="false">SUM(F13:K13)</f>
        <v>89400</v>
      </c>
      <c r="O13" s="21" t="n">
        <f aca="false">O12+M13-N13</f>
        <v>89600</v>
      </c>
    </row>
    <row r="14" customFormat="false" ht="15" hidden="false" customHeight="false" outlineLevel="0" collapsed="false">
      <c r="A14" s="17" t="n">
        <f aca="false">$D$3+8</f>
        <v>46308</v>
      </c>
      <c r="B14" s="18" t="str">
        <f aca="false">CHOOSE(WEEKDAY(A14,2),"Lunes","Martes","Miércoles","Jueves","Viernes","Sábado","Domingo")</f>
        <v>Martes</v>
      </c>
      <c r="C14" s="13" t="n">
        <v>96000</v>
      </c>
      <c r="D14" s="19"/>
      <c r="E14" s="19"/>
      <c r="F14" s="13" t="n">
        <v>49200</v>
      </c>
      <c r="G14" s="13" t="n">
        <v>6800</v>
      </c>
      <c r="H14" s="19"/>
      <c r="I14" s="19"/>
      <c r="J14" s="13" t="n">
        <v>18400</v>
      </c>
      <c r="K14" s="19"/>
      <c r="L14" s="22"/>
      <c r="M14" s="21" t="n">
        <f aca="false">SUM(C14:E14)</f>
        <v>96000</v>
      </c>
      <c r="N14" s="21" t="n">
        <f aca="false">SUM(F14:K14)</f>
        <v>74400</v>
      </c>
      <c r="O14" s="21" t="n">
        <f aca="false">O13+M14-N14</f>
        <v>111200</v>
      </c>
    </row>
    <row r="15" customFormat="false" ht="15" hidden="false" customHeight="false" outlineLevel="0" collapsed="false">
      <c r="A15" s="17" t="n">
        <f aca="false">$D$3+9</f>
        <v>46309</v>
      </c>
      <c r="B15" s="18" t="str">
        <f aca="false">CHOOSE(WEEKDAY(A15,2),"Lunes","Martes","Miércoles","Jueves","Viernes","Sábado","Domingo")</f>
        <v>Miércoles</v>
      </c>
      <c r="C15" s="13" t="n">
        <v>96000</v>
      </c>
      <c r="D15" s="19"/>
      <c r="E15" s="19"/>
      <c r="F15" s="13" t="n">
        <v>49200</v>
      </c>
      <c r="G15" s="13" t="n">
        <v>6800</v>
      </c>
      <c r="H15" s="19"/>
      <c r="I15" s="19"/>
      <c r="J15" s="13" t="n">
        <v>18400</v>
      </c>
      <c r="K15" s="13" t="n">
        <v>26000</v>
      </c>
      <c r="L15" s="20" t="s">
        <v>37</v>
      </c>
      <c r="M15" s="21" t="n">
        <f aca="false">SUM(C15:E15)</f>
        <v>96000</v>
      </c>
      <c r="N15" s="21" t="n">
        <f aca="false">SUM(F15:K15)</f>
        <v>100400</v>
      </c>
      <c r="O15" s="21" t="n">
        <f aca="false">O14+M15-N15</f>
        <v>106800</v>
      </c>
    </row>
    <row r="16" customFormat="false" ht="15" hidden="false" customHeight="false" outlineLevel="0" collapsed="false">
      <c r="A16" s="17" t="n">
        <f aca="false">$D$3+10</f>
        <v>46310</v>
      </c>
      <c r="B16" s="18" t="str">
        <f aca="false">CHOOSE(WEEKDAY(A16,2),"Lunes","Martes","Miércoles","Jueves","Viernes","Sábado","Domingo")</f>
        <v>Jueves</v>
      </c>
      <c r="C16" s="13" t="n">
        <v>96000</v>
      </c>
      <c r="D16" s="19"/>
      <c r="E16" s="19"/>
      <c r="F16" s="13" t="n">
        <v>49200</v>
      </c>
      <c r="G16" s="13" t="n">
        <v>6800</v>
      </c>
      <c r="H16" s="19"/>
      <c r="I16" s="19"/>
      <c r="J16" s="13" t="n">
        <v>18400</v>
      </c>
      <c r="K16" s="19"/>
      <c r="L16" s="22"/>
      <c r="M16" s="21" t="n">
        <f aca="false">SUM(C16:E16)</f>
        <v>96000</v>
      </c>
      <c r="N16" s="21" t="n">
        <f aca="false">SUM(F16:K16)</f>
        <v>74400</v>
      </c>
      <c r="O16" s="21" t="n">
        <f aca="false">O15+M16-N16</f>
        <v>128400</v>
      </c>
    </row>
    <row r="17" customFormat="false" ht="15" hidden="false" customHeight="false" outlineLevel="0" collapsed="false">
      <c r="A17" s="17" t="n">
        <f aca="false">$D$3+11</f>
        <v>46311</v>
      </c>
      <c r="B17" s="18" t="str">
        <f aca="false">CHOOSE(WEEKDAY(A17,2),"Lunes","Martes","Miércoles","Jueves","Viernes","Sábado","Domingo")</f>
        <v>Viernes</v>
      </c>
      <c r="C17" s="13" t="n">
        <v>96000</v>
      </c>
      <c r="D17" s="19"/>
      <c r="E17" s="19"/>
      <c r="F17" s="13" t="n">
        <v>49200</v>
      </c>
      <c r="G17" s="13" t="n">
        <v>6800</v>
      </c>
      <c r="H17" s="19"/>
      <c r="I17" s="19"/>
      <c r="J17" s="13" t="n">
        <v>18400</v>
      </c>
      <c r="K17" s="19"/>
      <c r="L17" s="22"/>
      <c r="M17" s="21" t="n">
        <f aca="false">SUM(C17:E17)</f>
        <v>96000</v>
      </c>
      <c r="N17" s="21" t="n">
        <f aca="false">SUM(F17:K17)</f>
        <v>74400</v>
      </c>
      <c r="O17" s="21" t="n">
        <f aca="false">O16+M17-N17</f>
        <v>150000</v>
      </c>
    </row>
    <row r="18" customFormat="false" ht="15" hidden="false" customHeight="false" outlineLevel="0" collapsed="false">
      <c r="A18" s="17" t="n">
        <f aca="false">$D$3+12</f>
        <v>46312</v>
      </c>
      <c r="B18" s="18" t="str">
        <f aca="false">CHOOSE(WEEKDAY(A18,2),"Lunes","Martes","Miércoles","Jueves","Viernes","Sábado","Domingo")</f>
        <v>Sábado</v>
      </c>
      <c r="C18" s="19"/>
      <c r="D18" s="19"/>
      <c r="E18" s="19"/>
      <c r="F18" s="19"/>
      <c r="G18" s="19"/>
      <c r="H18" s="19"/>
      <c r="I18" s="19"/>
      <c r="J18" s="19"/>
      <c r="K18" s="19"/>
      <c r="L18" s="22"/>
      <c r="M18" s="21" t="n">
        <f aca="false">SUM(C18:E18)</f>
        <v>0</v>
      </c>
      <c r="N18" s="21" t="n">
        <f aca="false">SUM(F18:K18)</f>
        <v>0</v>
      </c>
      <c r="O18" s="21" t="n">
        <f aca="false">O17+M18-N18</f>
        <v>150000</v>
      </c>
    </row>
    <row r="19" customFormat="false" ht="15" hidden="false" customHeight="false" outlineLevel="0" collapsed="false">
      <c r="A19" s="17" t="n">
        <f aca="false">$D$3+13</f>
        <v>46313</v>
      </c>
      <c r="B19" s="18" t="str">
        <f aca="false">CHOOSE(WEEKDAY(A19,2),"Lunes","Martes","Miércoles","Jueves","Viernes","Sábado","Domingo")</f>
        <v>Domingo</v>
      </c>
      <c r="C19" s="19"/>
      <c r="D19" s="19"/>
      <c r="E19" s="19"/>
      <c r="F19" s="19"/>
      <c r="G19" s="19"/>
      <c r="H19" s="19"/>
      <c r="I19" s="19"/>
      <c r="J19" s="19"/>
      <c r="K19" s="19"/>
      <c r="L19" s="22"/>
      <c r="M19" s="21" t="n">
        <f aca="false">SUM(C19:E19)</f>
        <v>0</v>
      </c>
      <c r="N19" s="21" t="n">
        <f aca="false">SUM(F19:K19)</f>
        <v>0</v>
      </c>
      <c r="O19" s="21" t="n">
        <f aca="false">O18+M19-N19</f>
        <v>150000</v>
      </c>
    </row>
    <row r="20" customFormat="false" ht="15" hidden="false" customHeight="false" outlineLevel="0" collapsed="false">
      <c r="A20" s="23" t="s">
        <v>38</v>
      </c>
      <c r="B20" s="23"/>
      <c r="C20" s="24" t="n">
        <f aca="false">SUM(C6:C19)</f>
        <v>960000</v>
      </c>
      <c r="D20" s="24" t="n">
        <f aca="false">SUM(D6:D19)</f>
        <v>0</v>
      </c>
      <c r="E20" s="24" t="n">
        <f aca="false">SUM(E6:E19)</f>
        <v>0</v>
      </c>
      <c r="F20" s="24" t="n">
        <f aca="false">SUM(F6:F19)</f>
        <v>492000</v>
      </c>
      <c r="G20" s="24" t="n">
        <f aca="false">SUM(G6:G19)</f>
        <v>68000</v>
      </c>
      <c r="H20" s="24" t="n">
        <f aca="false">SUM(H6:H19)</f>
        <v>90000</v>
      </c>
      <c r="I20" s="24" t="n">
        <f aca="false">SUM(I6:I19)</f>
        <v>0</v>
      </c>
      <c r="J20" s="24" t="n">
        <f aca="false">SUM(J6:J19)</f>
        <v>184000</v>
      </c>
      <c r="K20" s="24" t="n">
        <f aca="false">SUM(K6:K19)</f>
        <v>26000</v>
      </c>
      <c r="L20" s="23"/>
      <c r="M20" s="24" t="n">
        <f aca="false">SUM(M6:M19)</f>
        <v>960000</v>
      </c>
      <c r="N20" s="24" t="n">
        <f aca="false">SUM(N6:N19)</f>
        <v>860000</v>
      </c>
      <c r="O20" s="24" t="n">
        <f aca="false">O19</f>
        <v>150000</v>
      </c>
    </row>
    <row r="22" customFormat="false" ht="15" hidden="false" customHeight="false" outlineLevel="0" collapsed="false">
      <c r="A22" s="25" t="s">
        <v>39</v>
      </c>
    </row>
    <row r="23" customFormat="false" ht="15" hidden="false" customHeight="false" outlineLevel="0" collapsed="false">
      <c r="A23" s="26" t="s">
        <v>40</v>
      </c>
    </row>
  </sheetData>
  <mergeCells count="1">
    <mergeCell ref="A20:B20"/>
  </mergeCells>
  <conditionalFormatting sqref="O6:O19">
    <cfRule type="cellIs" priority="2" operator="lessThan" aboveAverage="0" equalAverage="0" bottom="0" percent="0" rank="0" text="" dxfId="0">
      <formula>0</formula>
    </cfRule>
  </conditionalFormatting>
  <dataValidations count="1">
    <dataValidation allowBlank="true" error="Escribe un valor en pesos, sin signos" errorStyle="stop" errorTitle="Valor" operator="greaterThanOrEqual" showDropDown="false" showErrorMessage="false" showInputMessage="false" sqref="D2 C6:K1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E82"/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  <col collapsed="false" customWidth="true" hidden="false" outlineLevel="0" max="3" min="3" style="1" width="60"/>
  </cols>
  <sheetData>
    <row r="1" customFormat="false" ht="17.35" hidden="false" customHeight="false" outlineLevel="0" collapsed="false">
      <c r="A1" s="11" t="s">
        <v>41</v>
      </c>
    </row>
    <row r="3" customFormat="false" ht="21.75" hidden="false" customHeight="true" outlineLevel="0" collapsed="false">
      <c r="A3" s="15" t="s">
        <v>42</v>
      </c>
      <c r="B3" s="15" t="s">
        <v>43</v>
      </c>
      <c r="C3" s="15" t="s">
        <v>44</v>
      </c>
    </row>
    <row r="4" customFormat="false" ht="15" hidden="false" customHeight="false" outlineLevel="0" collapsed="false">
      <c r="A4" s="18" t="s">
        <v>20</v>
      </c>
      <c r="B4" s="21" t="n">
        <f aca="false">'Flujo de caja'!C20</f>
        <v>960000</v>
      </c>
      <c r="C4" s="27" t="s">
        <v>45</v>
      </c>
    </row>
    <row r="5" customFormat="false" ht="15" hidden="false" customHeight="false" outlineLevel="0" collapsed="false">
      <c r="A5" s="18" t="s">
        <v>46</v>
      </c>
      <c r="B5" s="13" t="n">
        <v>0</v>
      </c>
      <c r="C5" s="27" t="s">
        <v>47</v>
      </c>
    </row>
    <row r="6" customFormat="false" ht="15" hidden="false" customHeight="false" outlineLevel="0" collapsed="false">
      <c r="A6" s="23" t="s">
        <v>48</v>
      </c>
      <c r="B6" s="24" t="n">
        <f aca="false">B4+B5</f>
        <v>960000</v>
      </c>
      <c r="C6" s="27"/>
    </row>
    <row r="7" customFormat="false" ht="15" hidden="false" customHeight="false" outlineLevel="0" collapsed="false">
      <c r="A7" s="18" t="s">
        <v>49</v>
      </c>
      <c r="B7" s="21" t="n">
        <f aca="false">'Flujo de caja'!F20</f>
        <v>492000</v>
      </c>
      <c r="C7" s="27" t="s">
        <v>50</v>
      </c>
    </row>
    <row r="8" customFormat="false" ht="15" hidden="false" customHeight="false" outlineLevel="0" collapsed="false">
      <c r="A8" s="18" t="s">
        <v>51</v>
      </c>
      <c r="B8" s="21" t="n">
        <f aca="false">'Flujo de caja'!J20</f>
        <v>184000</v>
      </c>
      <c r="C8" s="27" t="s">
        <v>50</v>
      </c>
    </row>
    <row r="9" customFormat="false" ht="15" hidden="false" customHeight="false" outlineLevel="0" collapsed="false">
      <c r="A9" s="18" t="s">
        <v>52</v>
      </c>
      <c r="B9" s="21" t="n">
        <f aca="false">'Flujo de caja'!G20</f>
        <v>68000</v>
      </c>
      <c r="C9" s="27" t="s">
        <v>50</v>
      </c>
    </row>
    <row r="10" customFormat="false" ht="15" hidden="false" customHeight="false" outlineLevel="0" collapsed="false">
      <c r="A10" s="23" t="s">
        <v>53</v>
      </c>
      <c r="B10" s="24" t="n">
        <f aca="false">B6-B7-B8-B9</f>
        <v>216000</v>
      </c>
      <c r="C10" s="27" t="s">
        <v>54</v>
      </c>
    </row>
    <row r="11" customFormat="false" ht="15" hidden="false" customHeight="false" outlineLevel="0" collapsed="false">
      <c r="A11" s="18" t="s">
        <v>55</v>
      </c>
      <c r="B11" s="21" t="n">
        <f aca="false">'Flujo de caja'!H20</f>
        <v>90000</v>
      </c>
      <c r="C11" s="27" t="s">
        <v>56</v>
      </c>
    </row>
    <row r="12" customFormat="false" ht="15" hidden="false" customHeight="false" outlineLevel="0" collapsed="false">
      <c r="A12" s="23" t="s">
        <v>57</v>
      </c>
      <c r="B12" s="24" t="n">
        <f aca="false">B10-B11</f>
        <v>126000</v>
      </c>
      <c r="C12" s="27" t="s">
        <v>58</v>
      </c>
    </row>
    <row r="14" customFormat="false" ht="15" hidden="false" customHeight="false" outlineLevel="0" collapsed="false">
      <c r="A14" s="12" t="s">
        <v>59</v>
      </c>
      <c r="B14" s="28" t="str">
        <f aca="false">IF(B12&gt;0,"Sí: ganó",IF(B12=0,"Quedó en cero","No: perdió"))</f>
        <v>Sí: ganó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E82"/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8"/>
    <col collapsed="false" customWidth="true" hidden="false" outlineLevel="0" max="3" min="3" style="1" width="62"/>
  </cols>
  <sheetData>
    <row r="1" customFormat="false" ht="17.35" hidden="false" customHeight="false" outlineLevel="0" collapsed="false">
      <c r="A1" s="11" t="s">
        <v>60</v>
      </c>
    </row>
    <row r="3" customFormat="false" ht="21.75" hidden="false" customHeight="true" outlineLevel="0" collapsed="false">
      <c r="A3" s="15" t="s">
        <v>61</v>
      </c>
      <c r="B3" s="15" t="s">
        <v>43</v>
      </c>
      <c r="C3" s="15" t="s">
        <v>44</v>
      </c>
    </row>
    <row r="4" customFormat="false" ht="15" hidden="false" customHeight="false" outlineLevel="0" collapsed="false">
      <c r="A4" s="23" t="s">
        <v>62</v>
      </c>
      <c r="B4" s="24" t="n">
        <f aca="false">PyG!B12</f>
        <v>126000</v>
      </c>
      <c r="C4" s="27" t="s">
        <v>63</v>
      </c>
    </row>
    <row r="5" customFormat="false" ht="15" hidden="false" customHeight="false" outlineLevel="0" collapsed="false">
      <c r="A5" s="18" t="s">
        <v>64</v>
      </c>
      <c r="B5" s="13" t="n">
        <v>0</v>
      </c>
      <c r="C5" s="27" t="s">
        <v>65</v>
      </c>
    </row>
    <row r="6" customFormat="false" ht="15" hidden="false" customHeight="false" outlineLevel="0" collapsed="false">
      <c r="A6" s="18" t="s">
        <v>66</v>
      </c>
      <c r="B6" s="13" t="n">
        <v>0</v>
      </c>
      <c r="C6" s="27" t="s">
        <v>67</v>
      </c>
    </row>
    <row r="7" customFormat="false" ht="15" hidden="false" customHeight="false" outlineLevel="0" collapsed="false">
      <c r="A7" s="23" t="s">
        <v>68</v>
      </c>
      <c r="B7" s="24" t="n">
        <f aca="false">B4-B5-B6</f>
        <v>126000</v>
      </c>
      <c r="C7" s="27" t="s">
        <v>69</v>
      </c>
    </row>
    <row r="8" customFormat="false" ht="15" hidden="false" customHeight="false" outlineLevel="0" collapsed="false">
      <c r="A8" s="18" t="s">
        <v>70</v>
      </c>
      <c r="B8" s="21" t="n">
        <f aca="false">'Flujo de caja'!I20-B5</f>
        <v>0</v>
      </c>
      <c r="C8" s="27" t="s">
        <v>71</v>
      </c>
    </row>
    <row r="9" customFormat="false" ht="15" hidden="false" customHeight="false" outlineLevel="0" collapsed="false">
      <c r="A9" s="18" t="s">
        <v>72</v>
      </c>
      <c r="B9" s="21" t="n">
        <f aca="false">'Flujo de caja'!K20</f>
        <v>26000</v>
      </c>
      <c r="C9" s="27" t="s">
        <v>73</v>
      </c>
    </row>
    <row r="10" customFormat="false" ht="15" hidden="false" customHeight="false" outlineLevel="0" collapsed="false">
      <c r="A10" s="18" t="s">
        <v>74</v>
      </c>
      <c r="B10" s="21" t="n">
        <f aca="false">PyG!B5</f>
        <v>0</v>
      </c>
      <c r="C10" s="27" t="s">
        <v>63</v>
      </c>
    </row>
    <row r="11" customFormat="false" ht="15" hidden="false" customHeight="false" outlineLevel="0" collapsed="false">
      <c r="A11" s="18" t="s">
        <v>75</v>
      </c>
      <c r="B11" s="21" t="n">
        <f aca="false">'Flujo de caja'!D20</f>
        <v>0</v>
      </c>
      <c r="C11" s="27" t="s">
        <v>50</v>
      </c>
    </row>
    <row r="12" customFormat="false" ht="15" hidden="false" customHeight="false" outlineLevel="0" collapsed="false">
      <c r="A12" s="23" t="s">
        <v>76</v>
      </c>
      <c r="B12" s="24" t="n">
        <f aca="false">B7-B8-B9-B10+B11</f>
        <v>100000</v>
      </c>
      <c r="C12" s="27" t="s">
        <v>77</v>
      </c>
    </row>
    <row r="14" customFormat="false" ht="15" hidden="false" customHeight="false" outlineLevel="0" collapsed="false">
      <c r="A14" s="29" t="s">
        <v>78</v>
      </c>
    </row>
    <row r="15" customFormat="false" ht="15" hidden="false" customHeight="false" outlineLevel="0" collapsed="false">
      <c r="A15" s="18" t="s">
        <v>79</v>
      </c>
      <c r="B15" s="21" t="n">
        <f aca="false">'Flujo de caja'!O20-'Flujo de caja'!D2</f>
        <v>100000</v>
      </c>
    </row>
    <row r="16" customFormat="false" ht="15" hidden="false" customHeight="false" outlineLevel="0" collapsed="false">
      <c r="A16" s="18" t="s">
        <v>80</v>
      </c>
      <c r="B16" s="21" t="n">
        <f aca="false">'Flujo de caja'!E20</f>
        <v>0</v>
      </c>
    </row>
    <row r="17" customFormat="false" ht="15" hidden="false" customHeight="false" outlineLevel="0" collapsed="false">
      <c r="A17" s="30" t="s">
        <v>81</v>
      </c>
      <c r="B17" s="31" t="n">
        <f aca="false">B15-B16</f>
        <v>100000</v>
      </c>
    </row>
    <row r="18" customFormat="false" ht="15" hidden="false" customHeight="false" outlineLevel="0" collapsed="false">
      <c r="A18" s="30" t="s">
        <v>82</v>
      </c>
      <c r="B18" s="31" t="str">
        <f aca="false">IF(ABS(B17-B12)&lt;1,"✔ Cuadra con la caja","Revisa: falta anotar algo")</f>
        <v>✔ Cuadra con la caja</v>
      </c>
      <c r="C18" s="31"/>
    </row>
  </sheetData>
  <mergeCells count="1">
    <mergeCell ref="B18:C18"/>
  </mergeCells>
  <conditionalFormatting sqref="B18">
    <cfRule type="expression" priority="2" aboveAverage="0" equalAverage="0" bottom="0" percent="0" rank="0" text="" dxfId="1">
      <formula>LEFT(B18,1)="R"</formula>
    </cfRule>
    <cfRule type="expression" priority="3" aboveAverage="0" equalAverage="0" bottom="0" percent="0" rank="0" text="" dxfId="2">
      <formula>LEFT(B18,1)&lt;&gt;"R"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A93C"/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8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30"/>
  </cols>
  <sheetData>
    <row r="1" customFormat="false" ht="17.35" hidden="false" customHeight="false" outlineLevel="0" collapsed="false">
      <c r="A1" s="11" t="s">
        <v>83</v>
      </c>
    </row>
    <row r="3" customFormat="false" ht="15" hidden="false" customHeight="false" outlineLevel="0" collapsed="false">
      <c r="A3" s="32" t="s">
        <v>84</v>
      </c>
      <c r="B3" s="32"/>
      <c r="C3" s="33" t="n">
        <f aca="false">MAX(Cascada!B12,0)</f>
        <v>100000</v>
      </c>
    </row>
    <row r="5" customFormat="false" ht="21.75" hidden="false" customHeight="true" outlineLevel="0" collapsed="false">
      <c r="A5" s="15" t="s">
        <v>85</v>
      </c>
      <c r="B5" s="15" t="s">
        <v>86</v>
      </c>
      <c r="C5" s="15" t="s">
        <v>87</v>
      </c>
      <c r="D5" s="15" t="s">
        <v>43</v>
      </c>
      <c r="E5" s="15" t="s">
        <v>88</v>
      </c>
    </row>
    <row r="6" customFormat="false" ht="23.85" hidden="false" customHeight="false" outlineLevel="0" collapsed="false">
      <c r="A6" s="34" t="s">
        <v>89</v>
      </c>
      <c r="B6" s="35" t="s">
        <v>90</v>
      </c>
      <c r="C6" s="36" t="n">
        <v>0.5</v>
      </c>
      <c r="D6" s="37" t="n">
        <f aca="false">$C$3*C6</f>
        <v>50000</v>
      </c>
      <c r="E6" s="38" t="s">
        <v>91</v>
      </c>
    </row>
    <row r="7" customFormat="false" ht="15" hidden="false" customHeight="false" outlineLevel="0" collapsed="false">
      <c r="A7" s="34" t="s">
        <v>92</v>
      </c>
      <c r="B7" s="35" t="s">
        <v>93</v>
      </c>
      <c r="C7" s="36" t="n">
        <v>0.3</v>
      </c>
      <c r="D7" s="37" t="n">
        <f aca="false">$C$3*C7</f>
        <v>30000</v>
      </c>
      <c r="E7" s="38" t="s">
        <v>94</v>
      </c>
    </row>
    <row r="8" customFormat="false" ht="15" hidden="false" customHeight="false" outlineLevel="0" collapsed="false">
      <c r="A8" s="34" t="s">
        <v>95</v>
      </c>
      <c r="B8" s="35" t="s">
        <v>96</v>
      </c>
      <c r="C8" s="36" t="n">
        <v>0.2</v>
      </c>
      <c r="D8" s="37" t="n">
        <f aca="false">$C$3*C8</f>
        <v>20000</v>
      </c>
      <c r="E8" s="38" t="s">
        <v>97</v>
      </c>
    </row>
    <row r="9" customFormat="false" ht="15" hidden="false" customHeight="false" outlineLevel="0" collapsed="false">
      <c r="A9" s="23" t="s">
        <v>98</v>
      </c>
      <c r="B9" s="23"/>
      <c r="C9" s="39" t="n">
        <f aca="false">SUM(C6:C8)</f>
        <v>1</v>
      </c>
      <c r="D9" s="24" t="n">
        <f aca="false">SUM(D6:D8)</f>
        <v>100000</v>
      </c>
      <c r="E9" s="23"/>
    </row>
    <row r="10" customFormat="false" ht="15" hidden="false" customHeight="false" outlineLevel="0" collapsed="false">
      <c r="A10" s="12" t="s">
        <v>99</v>
      </c>
      <c r="C10" s="32" t="str">
        <f aca="false">IF(ROUND(C9,4)=1,"✔ Suma 100 %","Revisa: los porcentajes deben sumar 100 %")</f>
        <v>✔ Suma 100 %</v>
      </c>
      <c r="D10" s="32"/>
      <c r="E10" s="32"/>
    </row>
    <row r="12" customFormat="false" ht="15" hidden="false" customHeight="false" outlineLevel="0" collapsed="false">
      <c r="A12" s="29" t="s">
        <v>100</v>
      </c>
    </row>
    <row r="13" customFormat="false" ht="15" hidden="false" customHeight="false" outlineLevel="0" collapsed="false">
      <c r="A13" s="40" t="s">
        <v>101</v>
      </c>
      <c r="B13" s="40"/>
      <c r="C13" s="13" t="n">
        <v>180000</v>
      </c>
    </row>
    <row r="14" customFormat="false" ht="15" hidden="false" customHeight="false" outlineLevel="0" collapsed="false">
      <c r="A14" s="40" t="s">
        <v>102</v>
      </c>
      <c r="B14" s="40"/>
      <c r="C14" s="30" t="n">
        <f aca="false">IF(D6&lt;=0,"-",ROUNDUP(C13/D6,0))</f>
        <v>4</v>
      </c>
    </row>
    <row r="16" customFormat="false" ht="15" hidden="false" customHeight="true" outlineLevel="0" collapsed="false">
      <c r="A16" s="41" t="s">
        <v>103</v>
      </c>
      <c r="B16" s="41"/>
      <c r="C16" s="41"/>
      <c r="D16" s="41"/>
      <c r="E16" s="41"/>
    </row>
    <row r="17" customFormat="false" ht="15" hidden="false" customHeight="false" outlineLevel="0" collapsed="false">
      <c r="A17" s="41"/>
      <c r="B17" s="41"/>
      <c r="C17" s="41"/>
      <c r="D17" s="41"/>
      <c r="E17" s="41"/>
    </row>
  </sheetData>
  <mergeCells count="5">
    <mergeCell ref="A3:B3"/>
    <mergeCell ref="C10:E10"/>
    <mergeCell ref="A13:B13"/>
    <mergeCell ref="A14:B14"/>
    <mergeCell ref="A16:E17"/>
  </mergeCells>
  <conditionalFormatting sqref="C10">
    <cfRule type="expression" priority="2" aboveAverage="0" equalAverage="0" bottom="0" percent="0" rank="0" text="" dxfId="0">
      <formula>LEFT(C10,1)="R"</formula>
    </cfRule>
    <cfRule type="expression" priority="3" aboveAverage="0" equalAverage="0" bottom="0" percent="0" rank="0" text="" dxfId="2">
      <formula>LEFT(C10,1)&lt;&gt;"R"</formula>
    </cfRule>
  </conditionalFormatting>
  <dataValidations count="1">
    <dataValidation allowBlank="true" error="Escribe un porcentaje entre 0 % y 100 %" errorStyle="stop" errorTitle="Porcentaje" operator="between" showDropDown="false" showErrorMessage="false" showInputMessage="false" sqref="C6:C8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2026-09-27T11:33:40Z</dcterms:created>
  <dc:creator>openpyxl</dc:creator>
  <dc:description/>
  <dc:language>en-US</dc:language>
  <cp:lastModifiedBy/>
  <dcterms:modified xsi:type="dcterms:W3CDTF">2026-09-27T11:33:40Z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