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ómo usar" sheetId="1" state="visible" r:id="rId3"/>
    <sheet name="Costeo por producto" sheetId="2" state="visible" r:id="rId4"/>
    <sheet name="Punto de equilibrio"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<sst xmlns="http://schemas.openxmlformats.org/spreadsheetml/2006/main" count="110" uniqueCount="88">
  <si>
    <t xml:space="preserve">Plantilla de costos, precio y punto de equilibrio (A8)</t>
  </si>
  <si>
    <t xml:space="preserve">Ruta HACER · Semana 4 · Centro de Innovación Comunitario · Red de Mujeres del Caribe</t>
  </si>
  <si>
    <t xml:space="preserve">Para qué sirve</t>
  </si>
  <si>
    <t xml:space="preserve">Para saber cuánto te cuesta hacer cada producto, si tu precio te deja ganancia o te hace perder, qué precio te conviene (con piso y techo) y cuánto tienes que vender para no perder (punto de equilibrio). Es un apoyo opcional: todo se puede hacer en papel con la plantilla impresa A8.</t>
  </si>
  <si>
    <t xml:space="preserve">Cómo se usa</t>
  </si>
  <si>
    <t xml:space="preserve">1. Hoja «Costeo por producto», tabla de arriba: escribe el nombre de cada producto (hasta 8), su precio de hoy, el precio del mercado (techo) y, cuando lo decidas, tu nuevo precio. En la celda amarilla de arriba escribe la ganancia que deseas sobre el costo (por ejemplo 30 %).</t>
  </si>
  <si>
    <t xml:space="preserve">2. Misma hoja, tabla de abajo («Detalle de costos»): una fila por cada cosa que lleva el producto. Escoge el producto y el tipo de costo (Materia prima, Mano de obra o Costo indirecto). Escribe lo que pagaste y para cuántas unidades te alcanza: la hoja calcula el costo por unidad.</t>
  </si>
  <si>
    <t xml:space="preserve">3. No olvides tu propio trabajo: en «Mano de obra» escribe lo que te pagarías por un día (o por una tanda) y cuántas unidades haces en ese tiempo.</t>
  </si>
  <si>
    <t xml:space="preserve">4. La tabla de arriba se llena sola: costo por unidad, margen, alerta «¡Pierdes plata!», precio sugerido y si tu nuevo precio queda entre el piso y el techo.</t>
  </si>
  <si>
    <t xml:space="preserve">5. Hoja «Punto de equilibrio»: escribe los gastos que pagas vendas o no vendas (al mes), los días que vendes al mes y a la semana, y cuántas unidades vendes al día de cada producto. La hoja calcula el margen promedio y el punto de equilibrio por mes, semana y día.</t>
  </si>
  <si>
    <t xml:space="preserve">Importante</t>
  </si>
  <si>
    <t xml:space="preserve">Las filas con fondo crema y letra gris son un EJEMPLO (Marta, jugos naturales; caso ilustrativo). Bórralas o escribe encima antes de usar la hoja con tus datos.</t>
  </si>
  <si>
    <t xml:space="preserve">Los gastos que se pagan vendas o no vendas (arriendo, bodegaje, mantenimiento) NO van en el costo por unidad: van en la hoja «Punto de equilibrio».</t>
  </si>
  <si>
    <t xml:space="preserve">Costo por unidad = materia prima + mano de obra + costos indirectos.   Margen = precio − costo.   Punto de equilibrio = gastos del mes ÷ margen promedio (siempre se redondea hacia arriba).</t>
  </si>
  <si>
    <t xml:space="preserve">Leyenda</t>
  </si>
  <si>
    <t xml:space="preserve">Celda amarilla = la llenas tú.   Celda blanca = se calcula sola, no la borres.</t>
  </si>
  <si>
    <t xml:space="preserve">Costeo por producto</t>
  </si>
  <si>
    <t xml:space="preserve">Ganancia que deseas sobre el costo (para el precio sugerido):</t>
  </si>
  <si>
    <t xml:space="preserve">← por ejemplo 30 %</t>
  </si>
  <si>
    <t xml:space="preserve">Producto</t>
  </si>
  <si>
    <t xml:space="preserve">Materia prima por unidad</t>
  </si>
  <si>
    <t xml:space="preserve">Mano de obra por unidad</t>
  </si>
  <si>
    <t xml:space="preserve">Costos indirectos por unidad</t>
  </si>
  <si>
    <t xml:space="preserve">Costo por unidad (piso)</t>
  </si>
  <si>
    <t xml:space="preserve">Precio de hoy</t>
  </si>
  <si>
    <t xml:space="preserve">Margen de hoy</t>
  </si>
  <si>
    <t xml:space="preserve">Alerta</t>
  </si>
  <si>
    <t xml:space="preserve">Precio sugerido</t>
  </si>
  <si>
    <t xml:space="preserve">Techo (precio del mercado)</t>
  </si>
  <si>
    <t xml:space="preserve">Nuevo precio (tu decisión)</t>
  </si>
  <si>
    <t xml:space="preserve">Nuevo margen</t>
  </si>
  <si>
    <t xml:space="preserve">¿Nuevo precio entre piso y techo?</t>
  </si>
  <si>
    <t xml:space="preserve">Vaso pequeño</t>
  </si>
  <si>
    <t xml:space="preserve">Vaso grande</t>
  </si>
  <si>
    <t xml:space="preserve">Precio sugerido = costo × (1 + ganancia deseada), redondeado a la centena. Es solo una referencia: tú decides el nuevo precio mirando el piso (costo), el mercado y el valor que aprecian tus clientes.</t>
  </si>
  <si>
    <t xml:space="preserve">Detalle de costos (una fila por cada cosa que lleva el producto)</t>
  </si>
  <si>
    <t xml:space="preserve">Las filas crema son el ejemplo de Marta: bórralas o escribe encima.</t>
  </si>
  <si>
    <t xml:space="preserve">Producto (escoge)</t>
  </si>
  <si>
    <t xml:space="preserve">Tipo de costo</t>
  </si>
  <si>
    <t xml:space="preserve">Concepto</t>
  </si>
  <si>
    <t xml:space="preserve">Lo que pagué ($)</t>
  </si>
  <si>
    <t xml:space="preserve">¿Para cuántas unidades alcanza?</t>
  </si>
  <si>
    <t xml:space="preserve">Costo por unidad</t>
  </si>
  <si>
    <t xml:space="preserve">Materia prima</t>
  </si>
  <si>
    <t xml:space="preserve">Fruta para 32 vasos</t>
  </si>
  <si>
    <t xml:space="preserve">Azúcar para 32 vasos</t>
  </si>
  <si>
    <t xml:space="preserve">Hielo para 32 vasos</t>
  </si>
  <si>
    <t xml:space="preserve">Vasos y pitillos (32)</t>
  </si>
  <si>
    <t xml:space="preserve">Mano de obra</t>
  </si>
  <si>
    <t xml:space="preserve">Mi pago por los 32 vasos pequeños del día</t>
  </si>
  <si>
    <t xml:space="preserve">Costo indirecto</t>
  </si>
  <si>
    <t xml:space="preserve">Energía, agua y transporte (parte de los 32 vasos)</t>
  </si>
  <si>
    <t xml:space="preserve">Fruta para 8 vasos</t>
  </si>
  <si>
    <t xml:space="preserve">Azúcar para 8 vasos</t>
  </si>
  <si>
    <t xml:space="preserve">Hielo para 8 vasos</t>
  </si>
  <si>
    <t xml:space="preserve">Vasos con tapa y pitillos (8)</t>
  </si>
  <si>
    <t xml:space="preserve">Mi pago por los 8 vasos grandes del día</t>
  </si>
  <si>
    <t xml:space="preserve">Energía, agua y transporte (parte de los 8 vasos)</t>
  </si>
  <si>
    <t xml:space="preserve">Mi punto de equilibrio</t>
  </si>
  <si>
    <t xml:space="preserve">Lo que tengo que vender para no perder: gastos que pago vendas o no vendas ÷ margen promedio por unidad.</t>
  </si>
  <si>
    <t xml:space="preserve">1. Gastos que pago vendas o no vendas (al mes)</t>
  </si>
  <si>
    <t xml:space="preserve">Gasto</t>
  </si>
  <si>
    <t xml:space="preserve">Valor al mes</t>
  </si>
  <si>
    <t xml:space="preserve">Bodegaje del carrito</t>
  </si>
  <si>
    <t xml:space="preserve">Recarga del celular</t>
  </si>
  <si>
    <t xml:space="preserve">Mantenimiento de licuadora y carrito</t>
  </si>
  <si>
    <t xml:space="preserve">Aporte por el uso del espacio</t>
  </si>
  <si>
    <t xml:space="preserve">Total de gastos del mes (G)</t>
  </si>
  <si>
    <t xml:space="preserve">2. ¿Cada cuánto vendo?</t>
  </si>
  <si>
    <t xml:space="preserve">Días que vendo al mes</t>
  </si>
  <si>
    <t xml:space="preserve">Días que vendo a la semana</t>
  </si>
  <si>
    <t xml:space="preserve">Semanas de venta al mes</t>
  </si>
  <si>
    <t xml:space="preserve">3. Lo que vendo de cada producto (la hoja trae el nuevo margen de «Costeo por producto»)</t>
  </si>
  <si>
    <t xml:space="preserve">Unidades que vendo al día</t>
  </si>
  <si>
    <t xml:space="preserve">Precio que uso</t>
  </si>
  <si>
    <t xml:space="preserve">Margen por unidad</t>
  </si>
  <si>
    <t xml:space="preserve">Unidades × margen</t>
  </si>
  <si>
    <t xml:space="preserve">Total</t>
  </si>
  <si>
    <t xml:space="preserve">← en C31: precio promedio por unidad</t>
  </si>
  <si>
    <t xml:space="preserve">4. Resultado</t>
  </si>
  <si>
    <t xml:space="preserve">Margen promedio por unidad (M = total unidades × margen ÷ total unidades)</t>
  </si>
  <si>
    <t xml:space="preserve">Punto de equilibrio exacto al mes (G ÷ M)</t>
  </si>
  <si>
    <t xml:space="preserve">Punto de equilibrio AL MES (unidades, redondeado hacia arriba)</t>
  </si>
  <si>
    <t xml:space="preserve">Punto de equilibrio A LA SEMANA (unidades)</t>
  </si>
  <si>
    <t xml:space="preserve">Punto de equilibrio AL DÍA (unidades)</t>
  </si>
  <si>
    <t xml:space="preserve">Punto de equilibrio en plata al mes (aproximado)</t>
  </si>
  <si>
    <t xml:space="preserve">Lo que vendo hoy al día (unidades)</t>
  </si>
  <si>
    <t xml:space="preserve">¿Cómo voy?</t>
  </si>
</sst>
</file>

<file path=xl/styles.xml><?xml version="1.0" encoding="utf-8"?>
<styleSheet xmlns="http://schemas.openxmlformats.org/spreadsheetml/2006/main">
  <numFmts count="6">
    <numFmt numFmtId="164" formatCode="General"/>
    <numFmt numFmtId="165" formatCode="0%"/>
    <numFmt numFmtId="166" formatCode="&quot;$ &quot;#,##0;&quot;-$ &quot;#,##0;\-"/>
    <numFmt numFmtId="167" formatCode="0.0"/>
    <numFmt numFmtId="168" formatCode="#,##0.0"/>
    <numFmt numFmtId="169" formatCode="#,##0"/>
  </numFmts>
  <fonts count="18">
    <font>
      <sz val="11"/>
      <color theme="1"/>
      <name val="Calibri"/>
      <family val="2"/>
      <charset val="1"/>
    </font>
    <font>
      <sz val="10"/>
      <name val="Arial"/>
      <family val="0"/>
    </font>
    <font>
      <sz val="10"/>
      <name val="Arial"/>
      <family val="0"/>
    </font>
    <font>
      <sz val="10"/>
      <name val="Arial"/>
      <family val="0"/>
    </font>
    <font>
      <b val="true"/>
      <sz val="16"/>
      <color rgb="FF173C48"/>
      <name val="Arial"/>
      <family val="0"/>
      <charset val="1"/>
    </font>
    <font>
      <sz val="10"/>
      <color rgb="FF5A6B70"/>
      <name val="Arial"/>
      <family val="0"/>
      <charset val="1"/>
    </font>
    <font>
      <b val="true"/>
      <sz val="12"/>
      <color rgb="FF2E6E82"/>
      <name val="Arial"/>
      <family val="0"/>
      <charset val="1"/>
    </font>
    <font>
      <sz val="10"/>
      <name val="Arial"/>
      <family val="0"/>
      <charset val="1"/>
    </font>
    <font>
      <b val="true"/>
      <sz val="12"/>
      <color rgb="FFE1673C"/>
      <name val="Arial"/>
      <family val="0"/>
      <charset val="1"/>
    </font>
    <font>
      <b val="true"/>
      <sz val="10"/>
      <name val="Arial"/>
      <family val="0"/>
      <charset val="1"/>
    </font>
    <font>
      <i val="true"/>
      <sz val="10"/>
      <name val="Arial"/>
      <family val="0"/>
      <charset val="1"/>
    </font>
    <font>
      <b val="true"/>
      <sz val="14"/>
      <color rgb="FF173C48"/>
      <name val="Arial"/>
      <family val="0"/>
      <charset val="1"/>
    </font>
    <font>
      <i val="true"/>
      <sz val="9"/>
      <color rgb="FF5A6B70"/>
      <name val="Arial"/>
      <family val="0"/>
      <charset val="1"/>
    </font>
    <font>
      <b val="true"/>
      <sz val="10"/>
      <color rgb="FFFFFFFF"/>
      <name val="Arial"/>
      <family val="0"/>
      <charset val="1"/>
    </font>
    <font>
      <i val="true"/>
      <sz val="10"/>
      <color rgb="FF5A6B70"/>
      <name val="Arial"/>
      <family val="0"/>
      <charset val="1"/>
    </font>
    <font>
      <i val="true"/>
      <sz val="9"/>
      <color rgb="FFE1673C"/>
      <name val="Arial"/>
      <family val="0"/>
      <charset val="1"/>
    </font>
    <font>
      <b val="true"/>
      <sz val="11"/>
      <color rgb="FF2E6E82"/>
      <name val="Arial"/>
      <family val="0"/>
      <charset val="1"/>
    </font>
    <font>
      <b val="true"/>
      <sz val="10"/>
      <color rgb="FF173C48"/>
      <name val="Arial"/>
      <family val="0"/>
      <charset val="1"/>
    </font>
  </fonts>
  <fills count="7">
    <fill>
      <patternFill patternType="none"/>
    </fill>
    <fill>
      <patternFill patternType="gray125"/>
    </fill>
    <fill>
      <patternFill patternType="solid">
        <fgColor rgb="FFFFF4CC"/>
        <bgColor rgb="FFF6F1E7"/>
      </patternFill>
    </fill>
    <fill>
      <patternFill patternType="solid">
        <fgColor rgb="FF173C48"/>
        <bgColor rgb="FF333333"/>
      </patternFill>
    </fill>
    <fill>
      <patternFill patternType="solid">
        <fgColor rgb="FFF6F1E7"/>
        <bgColor rgb="FFFFF4CC"/>
      </patternFill>
    </fill>
    <fill>
      <patternFill patternType="solid">
        <fgColor rgb="FF2E6E82"/>
        <bgColor rgb="FF5A6B70"/>
      </patternFill>
    </fill>
    <fill>
      <patternFill patternType="solid">
        <fgColor rgb="FFF7E6C4"/>
        <bgColor rgb="FFF8DCD0"/>
      </patternFill>
    </fill>
  </fills>
  <borders count="2">
    <border diagonalUp="false" diagonalDown="false">
      <left/>
      <right/>
      <top/>
      <bottom/>
      <diagonal/>
    </border>
    <border diagonalUp="false" diagonalDown="false">
      <left style="thin">
        <color rgb="FFD9D2C3"/>
      </left>
      <right style="thin">
        <color rgb="FFD9D2C3"/>
      </right>
      <top style="thin">
        <color rgb="FFD9D2C3"/>
      </top>
      <bottom style="thin">
        <color rgb="FFD9D2C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0" fillId="2" borderId="1" xfId="0" applyFont="fals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14" fillId="4" borderId="1" xfId="0" applyFont="tru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6" fontId="14" fillId="4"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tru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6" fontId="7" fillId="2"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3" fillId="5" borderId="1" xfId="0" applyFont="true" applyBorder="true" applyAlignment="true" applyProtection="true">
      <alignment horizontal="center" vertical="center" textRotation="0" wrapText="true" indent="0" shrinkToFit="false"/>
      <protection locked="true" hidden="false"/>
    </xf>
    <xf numFmtId="166" fontId="14" fillId="0" borderId="1"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6" fontId="9" fillId="6" borderId="1" xfId="0" applyFont="true" applyBorder="tru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6" fontId="17" fillId="0" borderId="1" xfId="0" applyFont="true" applyBorder="true" applyAlignment="true" applyProtection="true">
      <alignment horizontal="general" vertical="bottom" textRotation="0" wrapText="false" indent="0" shrinkToFit="false"/>
      <protection locked="true" hidden="false"/>
    </xf>
    <xf numFmtId="168" fontId="17" fillId="0" borderId="1" xfId="0" applyFont="true" applyBorder="true" applyAlignment="true" applyProtection="true">
      <alignment horizontal="general" vertical="bottom" textRotation="0" wrapText="false" indent="0" shrinkToFit="false"/>
      <protection locked="true" hidden="false"/>
    </xf>
    <xf numFmtId="169" fontId="17" fillId="6" borderId="1" xfId="0" applyFont="true" applyBorder="true" applyAlignment="true" applyProtection="true">
      <alignment horizontal="general" vertical="bottom" textRotation="0" wrapText="false" indent="0" shrinkToFit="false"/>
      <protection locked="true" hidden="false"/>
    </xf>
    <xf numFmtId="169" fontId="17" fillId="0" borderId="1" xfId="0" applyFont="tru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B42318"/>
      </font>
      <fill>
        <patternFill>
          <bgColor rgb="FFF8DCD0"/>
        </patternFill>
      </fill>
    </dxf>
    <dxf>
      <fill>
        <patternFill>
          <bgColor rgb="FFD6E7EB"/>
        </patternFill>
      </fill>
    </dxf>
    <dxf>
      <fill>
        <patternFill>
          <bgColor rgb="FFF8DCD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6E82"/>
      <rgbColor rgb="FFD9D2C3"/>
      <rgbColor rgb="FF808080"/>
      <rgbColor rgb="FF9999FF"/>
      <rgbColor rgb="FF993366"/>
      <rgbColor rgb="FFFFF4CC"/>
      <rgbColor rgb="FFD6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6F1E7"/>
      <rgbColor rgb="FFCCFFCC"/>
      <rgbColor rgb="FFF7E6C4"/>
      <rgbColor rgb="FF99CCFF"/>
      <rgbColor rgb="FFFF99CC"/>
      <rgbColor rgb="FFCC99FF"/>
      <rgbColor rgb="FFF8DCD0"/>
      <rgbColor rgb="FF3366FF"/>
      <rgbColor rgb="FF33CCCC"/>
      <rgbColor rgb="FF99CC00"/>
      <rgbColor rgb="FFFFCC00"/>
      <rgbColor rgb="FFFF9900"/>
      <rgbColor rgb="FFE1673C"/>
      <rgbColor rgb="FF5A6B70"/>
      <rgbColor rgb="FF969696"/>
      <rgbColor rgb="FF173C48"/>
      <rgbColor rgb="FF339966"/>
      <rgbColor rgb="FF003300"/>
      <rgbColor rgb="FF333300"/>
      <rgbColor rgb="FFB4231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673C"/>
    <pageSetUpPr fitToPage="false"/>
  </sheetPr>
  <dimension ref="B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5"/>
  </cols>
  <sheetData>
    <row r="1" customFormat="false" ht="19.7" hidden="false" customHeight="false" outlineLevel="0" collapsed="false">
      <c r="B1" s="2" t="s">
        <v>0</v>
      </c>
    </row>
    <row r="2" customFormat="false" ht="15" hidden="false" customHeight="false" outlineLevel="0" collapsed="false">
      <c r="B2" s="3" t="s">
        <v>1</v>
      </c>
    </row>
    <row r="3" customFormat="false" ht="15" hidden="false" customHeight="false" outlineLevel="0" collapsed="false">
      <c r="B3" s="4"/>
    </row>
    <row r="4" customFormat="false" ht="15" hidden="false" customHeight="false" outlineLevel="0" collapsed="false">
      <c r="B4" s="5" t="s">
        <v>2</v>
      </c>
    </row>
    <row r="5" customFormat="false" ht="35.05" hidden="false" customHeight="false" outlineLevel="0" collapsed="false">
      <c r="B5" s="6" t="s">
        <v>3</v>
      </c>
    </row>
    <row r="6" customFormat="false" ht="15" hidden="false" customHeight="false" outlineLevel="0" collapsed="false">
      <c r="B6" s="4"/>
    </row>
    <row r="7" customFormat="false" ht="15" hidden="false" customHeight="false" outlineLevel="0" collapsed="false">
      <c r="B7" s="5" t="s">
        <v>4</v>
      </c>
    </row>
    <row r="8" customFormat="false" ht="35.05" hidden="false" customHeight="false" outlineLevel="0" collapsed="false">
      <c r="B8" s="6" t="s">
        <v>5</v>
      </c>
    </row>
    <row r="9" customFormat="false" ht="35.05" hidden="false" customHeight="false" outlineLevel="0" collapsed="false">
      <c r="B9" s="6" t="s">
        <v>6</v>
      </c>
    </row>
    <row r="10" customFormat="false" ht="23.85" hidden="false" customHeight="false" outlineLevel="0" collapsed="false">
      <c r="B10" s="6" t="s">
        <v>7</v>
      </c>
    </row>
    <row r="11" customFormat="false" ht="23.85" hidden="false" customHeight="false" outlineLevel="0" collapsed="false">
      <c r="B11" s="6" t="s">
        <v>8</v>
      </c>
    </row>
    <row r="12" customFormat="false" ht="35.05" hidden="false" customHeight="false" outlineLevel="0" collapsed="false">
      <c r="B12" s="6" t="s">
        <v>9</v>
      </c>
    </row>
    <row r="13" customFormat="false" ht="15" hidden="false" customHeight="false" outlineLevel="0" collapsed="false">
      <c r="B13" s="4"/>
    </row>
    <row r="14" customFormat="false" ht="15" hidden="false" customHeight="false" outlineLevel="0" collapsed="false">
      <c r="B14" s="7" t="s">
        <v>10</v>
      </c>
    </row>
    <row r="15" customFormat="false" ht="23.85" hidden="false" customHeight="false" outlineLevel="0" collapsed="false">
      <c r="B15" s="8" t="s">
        <v>11</v>
      </c>
    </row>
    <row r="16" customFormat="false" ht="23.85" hidden="false" customHeight="false" outlineLevel="0" collapsed="false">
      <c r="B16" s="6" t="s">
        <v>12</v>
      </c>
    </row>
    <row r="17" customFormat="false" ht="23.85" hidden="false" customHeight="false" outlineLevel="0" collapsed="false">
      <c r="B17" s="9" t="s">
        <v>13</v>
      </c>
    </row>
    <row r="18" customFormat="false" ht="15" hidden="false" customHeight="false" outlineLevel="0" collapsed="false">
      <c r="B18" s="4"/>
    </row>
    <row r="19" customFormat="false" ht="15" hidden="false" customHeight="false" outlineLevel="0" collapsed="false">
      <c r="B19" s="5" t="s">
        <v>14</v>
      </c>
    </row>
    <row r="20" customFormat="false" ht="15" hidden="false" customHeight="false" outlineLevel="0" collapsed="false">
      <c r="B20" s="10"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C48"/>
    <pageSetUpPr fitToPage="false"/>
  </sheetPr>
  <dimension ref="A1:M1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40"/>
    <col collapsed="false" customWidth="true" hidden="false" outlineLevel="0" max="5" min="4" style="1" width="14"/>
    <col collapsed="false" customWidth="true" hidden="false" outlineLevel="0" max="7" min="6" style="1" width="12"/>
    <col collapsed="false" customWidth="true" hidden="false" outlineLevel="0" max="8" min="8" style="1" width="18"/>
    <col collapsed="false" customWidth="true" hidden="false" outlineLevel="0" max="9" min="9" style="1" width="13"/>
    <col collapsed="false" customWidth="true" hidden="false" outlineLevel="0" max="11" min="10" style="1" width="14"/>
    <col collapsed="false" customWidth="true" hidden="false" outlineLevel="0" max="12" min="12" style="1" width="12"/>
    <col collapsed="false" customWidth="true" hidden="false" outlineLevel="0" max="13" min="13" style="1" width="22"/>
  </cols>
  <sheetData>
    <row r="1" customFormat="false" ht="17.35" hidden="false" customHeight="false" outlineLevel="0" collapsed="false">
      <c r="A1" s="11" t="s">
        <v>16</v>
      </c>
    </row>
    <row r="2" customFormat="false" ht="15" hidden="false" customHeight="false" outlineLevel="0" collapsed="false">
      <c r="A2" s="12" t="s">
        <v>17</v>
      </c>
      <c r="F2" s="13" t="n">
        <v>0.3</v>
      </c>
      <c r="G2" s="14" t="s">
        <v>18</v>
      </c>
    </row>
    <row r="4" customFormat="false" ht="43.5" hidden="false" customHeight="true" outlineLevel="0" collapsed="false">
      <c r="A4" s="15" t="s">
        <v>19</v>
      </c>
      <c r="B4" s="15" t="s">
        <v>20</v>
      </c>
      <c r="C4" s="15" t="s">
        <v>21</v>
      </c>
      <c r="D4" s="15" t="s">
        <v>22</v>
      </c>
      <c r="E4" s="15" t="s">
        <v>23</v>
      </c>
      <c r="F4" s="15" t="s">
        <v>24</v>
      </c>
      <c r="G4" s="15" t="s">
        <v>25</v>
      </c>
      <c r="H4" s="15" t="s">
        <v>26</v>
      </c>
      <c r="I4" s="15" t="s">
        <v>27</v>
      </c>
      <c r="J4" s="15" t="s">
        <v>28</v>
      </c>
      <c r="K4" s="15" t="s">
        <v>29</v>
      </c>
      <c r="L4" s="15" t="s">
        <v>30</v>
      </c>
      <c r="M4" s="15" t="s">
        <v>31</v>
      </c>
    </row>
    <row r="5" customFormat="false" ht="23.85" hidden="false" customHeight="false" outlineLevel="0" collapsed="false">
      <c r="A5" s="16" t="s">
        <v>32</v>
      </c>
      <c r="B5" s="17" t="n">
        <f aca="false">IF($A5="","",SUMIFS($F$17:$F$116,$A$17:$A$116,$A5,$B$17:$B$116,"Materia prima"))</f>
        <v>1000</v>
      </c>
      <c r="C5" s="17" t="n">
        <f aca="false">IF($A5="","",SUMIFS($F$17:$F$116,$A$17:$A$116,$A5,$B$17:$B$116,"Mano de obra"))</f>
        <v>400</v>
      </c>
      <c r="D5" s="17" t="n">
        <f aca="false">IF($A5="","",SUMIFS($F$17:$F$116,$A$17:$A$116,$A5,$B$17:$B$116,"Costo indirecto"))</f>
        <v>150</v>
      </c>
      <c r="E5" s="17" t="n">
        <f aca="false">IF($A5="","",B5+C5+D5)</f>
        <v>1550</v>
      </c>
      <c r="F5" s="18" t="n">
        <v>2000</v>
      </c>
      <c r="G5" s="17" t="n">
        <f aca="false">IF(OR($A5="",F5=""),"",F5-E5)</f>
        <v>450</v>
      </c>
      <c r="H5" s="19" t="str">
        <f aca="false">IF(G5="","",IF(G5&lt;0,"¡Pierdes plata!",IF(G5=0,"No ganas nada","Te deja ganancia")))</f>
        <v>Te deja ganancia</v>
      </c>
      <c r="I5" s="17" t="n">
        <f aca="false">IF($A5="","",ROUND(E5*(1+$F$2),-2))</f>
        <v>2000</v>
      </c>
      <c r="J5" s="18"/>
      <c r="K5" s="18" t="n">
        <v>2000</v>
      </c>
      <c r="L5" s="17" t="n">
        <f aca="false">IF(OR($A5="",K5=""),"",K5-E5)</f>
        <v>450</v>
      </c>
      <c r="M5" s="19" t="str">
        <f aca="false">IF(OR($A5="",K5=""),"",IF(K5&lt;E5,"Por debajo del piso: pierdes",IF(J5="","Encima del piso (sin techo)",IF(K5&gt;J5,"Por encima del techo","Sí, entre piso y techo"))))</f>
        <v>Encima del piso (sin techo)</v>
      </c>
    </row>
    <row r="6" customFormat="false" ht="15" hidden="false" customHeight="false" outlineLevel="0" collapsed="false">
      <c r="A6" s="16" t="s">
        <v>33</v>
      </c>
      <c r="B6" s="17" t="n">
        <f aca="false">IF($A6="","",SUMIFS($F$17:$F$116,$A$17:$A$116,$A6,$B$17:$B$116,"Materia prima"))</f>
        <v>2150</v>
      </c>
      <c r="C6" s="17" t="n">
        <f aca="false">IF($A6="","",SUMIFS($F$17:$F$116,$A$17:$A$116,$A6,$B$17:$B$116,"Mano de obra"))</f>
        <v>700</v>
      </c>
      <c r="D6" s="17" t="n">
        <f aca="false">IF($A6="","",SUMIFS($F$17:$F$116,$A$17:$A$116,$A6,$B$17:$B$116,"Costo indirecto"))</f>
        <v>250</v>
      </c>
      <c r="E6" s="17" t="n">
        <f aca="false">IF($A6="","",B6+C6+D6)</f>
        <v>3100</v>
      </c>
      <c r="F6" s="18" t="n">
        <v>3000</v>
      </c>
      <c r="G6" s="17" t="n">
        <f aca="false">IF(OR($A6="",F6=""),"",F6-E6)</f>
        <v>-100</v>
      </c>
      <c r="H6" s="19" t="str">
        <f aca="false">IF(G6="","",IF(G6&lt;0,"¡Pierdes plata!",IF(G6=0,"No ganas nada","Te deja ganancia")))</f>
        <v>¡Pierdes plata!</v>
      </c>
      <c r="I6" s="17" t="n">
        <f aca="false">IF($A6="","",ROUND(E6*(1+$F$2),-2))</f>
        <v>4000</v>
      </c>
      <c r="J6" s="18" t="n">
        <v>4500</v>
      </c>
      <c r="K6" s="18" t="n">
        <v>4000</v>
      </c>
      <c r="L6" s="17" t="n">
        <f aca="false">IF(OR($A6="",K6=""),"",K6-E6)</f>
        <v>900</v>
      </c>
      <c r="M6" s="19" t="str">
        <f aca="false">IF(OR($A6="",K6=""),"",IF(K6&lt;E6,"Por debajo del piso: pierdes",IF(J6="","Encima del piso (sin techo)",IF(K6&gt;J6,"Por encima del techo","Sí, entre piso y techo"))))</f>
        <v>Sí, entre piso y techo</v>
      </c>
    </row>
    <row r="7" customFormat="false" ht="15" hidden="false" customHeight="false" outlineLevel="0" collapsed="false">
      <c r="A7" s="20"/>
      <c r="B7" s="17" t="str">
        <f aca="false">IF($A7="","",SUMIFS($F$17:$F$116,$A$17:$A$116,$A7,$B$17:$B$116,"Materia prima"))</f>
        <v/>
      </c>
      <c r="C7" s="17" t="str">
        <f aca="false">IF($A7="","",SUMIFS($F$17:$F$116,$A$17:$A$116,$A7,$B$17:$B$116,"Mano de obra"))</f>
        <v/>
      </c>
      <c r="D7" s="17" t="str">
        <f aca="false">IF($A7="","",SUMIFS($F$17:$F$116,$A$17:$A$116,$A7,$B$17:$B$116,"Costo indirecto"))</f>
        <v/>
      </c>
      <c r="E7" s="17" t="str">
        <f aca="false">IF($A7="","",B7+C7+D7)</f>
        <v/>
      </c>
      <c r="F7" s="21"/>
      <c r="G7" s="17" t="str">
        <f aca="false">IF(OR($A7="",F7=""),"",F7-E7)</f>
        <v/>
      </c>
      <c r="H7" s="19" t="str">
        <f aca="false">IF(G7="","",IF(G7&lt;0,"¡Pierdes plata!",IF(G7=0,"No ganas nada","Te deja ganancia")))</f>
        <v/>
      </c>
      <c r="I7" s="17" t="str">
        <f aca="false">IF($A7="","",ROUND(E7*(1+$F$2),-2))</f>
        <v/>
      </c>
      <c r="J7" s="21"/>
      <c r="K7" s="21"/>
      <c r="L7" s="17" t="str">
        <f aca="false">IF(OR($A7="",K7=""),"",K7-E7)</f>
        <v/>
      </c>
      <c r="M7" s="19" t="str">
        <f aca="false">IF(OR($A7="",K7=""),"",IF(K7&lt;E7,"Por debajo del piso: pierdes",IF(J7="","Encima del piso (sin techo)",IF(K7&gt;J7,"Por encima del techo","Sí, entre piso y techo"))))</f>
        <v/>
      </c>
    </row>
    <row r="8" customFormat="false" ht="15" hidden="false" customHeight="false" outlineLevel="0" collapsed="false">
      <c r="A8" s="20"/>
      <c r="B8" s="17" t="str">
        <f aca="false">IF($A8="","",SUMIFS($F$17:$F$116,$A$17:$A$116,$A8,$B$17:$B$116,"Materia prima"))</f>
        <v/>
      </c>
      <c r="C8" s="17" t="str">
        <f aca="false">IF($A8="","",SUMIFS($F$17:$F$116,$A$17:$A$116,$A8,$B$17:$B$116,"Mano de obra"))</f>
        <v/>
      </c>
      <c r="D8" s="17" t="str">
        <f aca="false">IF($A8="","",SUMIFS($F$17:$F$116,$A$17:$A$116,$A8,$B$17:$B$116,"Costo indirecto"))</f>
        <v/>
      </c>
      <c r="E8" s="17" t="str">
        <f aca="false">IF($A8="","",B8+C8+D8)</f>
        <v/>
      </c>
      <c r="F8" s="21"/>
      <c r="G8" s="17" t="str">
        <f aca="false">IF(OR($A8="",F8=""),"",F8-E8)</f>
        <v/>
      </c>
      <c r="H8" s="19" t="str">
        <f aca="false">IF(G8="","",IF(G8&lt;0,"¡Pierdes plata!",IF(G8=0,"No ganas nada","Te deja ganancia")))</f>
        <v/>
      </c>
      <c r="I8" s="17" t="str">
        <f aca="false">IF($A8="","",ROUND(E8*(1+$F$2),-2))</f>
        <v/>
      </c>
      <c r="J8" s="21"/>
      <c r="K8" s="21"/>
      <c r="L8" s="17" t="str">
        <f aca="false">IF(OR($A8="",K8=""),"",K8-E8)</f>
        <v/>
      </c>
      <c r="M8" s="19" t="str">
        <f aca="false">IF(OR($A8="",K8=""),"",IF(K8&lt;E8,"Por debajo del piso: pierdes",IF(J8="","Encima del piso (sin techo)",IF(K8&gt;J8,"Por encima del techo","Sí, entre piso y techo"))))</f>
        <v/>
      </c>
    </row>
    <row r="9" customFormat="false" ht="15" hidden="false" customHeight="false" outlineLevel="0" collapsed="false">
      <c r="A9" s="20"/>
      <c r="B9" s="17" t="str">
        <f aca="false">IF($A9="","",SUMIFS($F$17:$F$116,$A$17:$A$116,$A9,$B$17:$B$116,"Materia prima"))</f>
        <v/>
      </c>
      <c r="C9" s="17" t="str">
        <f aca="false">IF($A9="","",SUMIFS($F$17:$F$116,$A$17:$A$116,$A9,$B$17:$B$116,"Mano de obra"))</f>
        <v/>
      </c>
      <c r="D9" s="17" t="str">
        <f aca="false">IF($A9="","",SUMIFS($F$17:$F$116,$A$17:$A$116,$A9,$B$17:$B$116,"Costo indirecto"))</f>
        <v/>
      </c>
      <c r="E9" s="17" t="str">
        <f aca="false">IF($A9="","",B9+C9+D9)</f>
        <v/>
      </c>
      <c r="F9" s="21"/>
      <c r="G9" s="17" t="str">
        <f aca="false">IF(OR($A9="",F9=""),"",F9-E9)</f>
        <v/>
      </c>
      <c r="H9" s="19" t="str">
        <f aca="false">IF(G9="","",IF(G9&lt;0,"¡Pierdes plata!",IF(G9=0,"No ganas nada","Te deja ganancia")))</f>
        <v/>
      </c>
      <c r="I9" s="17" t="str">
        <f aca="false">IF($A9="","",ROUND(E9*(1+$F$2),-2))</f>
        <v/>
      </c>
      <c r="J9" s="21"/>
      <c r="K9" s="21"/>
      <c r="L9" s="17" t="str">
        <f aca="false">IF(OR($A9="",K9=""),"",K9-E9)</f>
        <v/>
      </c>
      <c r="M9" s="19" t="str">
        <f aca="false">IF(OR($A9="",K9=""),"",IF(K9&lt;E9,"Por debajo del piso: pierdes",IF(J9="","Encima del piso (sin techo)",IF(K9&gt;J9,"Por encima del techo","Sí, entre piso y techo"))))</f>
        <v/>
      </c>
    </row>
    <row r="10" customFormat="false" ht="15" hidden="false" customHeight="false" outlineLevel="0" collapsed="false">
      <c r="A10" s="20"/>
      <c r="B10" s="17" t="str">
        <f aca="false">IF($A10="","",SUMIFS($F$17:$F$116,$A$17:$A$116,$A10,$B$17:$B$116,"Materia prima"))</f>
        <v/>
      </c>
      <c r="C10" s="17" t="str">
        <f aca="false">IF($A10="","",SUMIFS($F$17:$F$116,$A$17:$A$116,$A10,$B$17:$B$116,"Mano de obra"))</f>
        <v/>
      </c>
      <c r="D10" s="17" t="str">
        <f aca="false">IF($A10="","",SUMIFS($F$17:$F$116,$A$17:$A$116,$A10,$B$17:$B$116,"Costo indirecto"))</f>
        <v/>
      </c>
      <c r="E10" s="17" t="str">
        <f aca="false">IF($A10="","",B10+C10+D10)</f>
        <v/>
      </c>
      <c r="F10" s="21"/>
      <c r="G10" s="17" t="str">
        <f aca="false">IF(OR($A10="",F10=""),"",F10-E10)</f>
        <v/>
      </c>
      <c r="H10" s="19" t="str">
        <f aca="false">IF(G10="","",IF(G10&lt;0,"¡Pierdes plata!",IF(G10=0,"No ganas nada","Te deja ganancia")))</f>
        <v/>
      </c>
      <c r="I10" s="17" t="str">
        <f aca="false">IF($A10="","",ROUND(E10*(1+$F$2),-2))</f>
        <v/>
      </c>
      <c r="J10" s="21"/>
      <c r="K10" s="21"/>
      <c r="L10" s="17" t="str">
        <f aca="false">IF(OR($A10="",K10=""),"",K10-E10)</f>
        <v/>
      </c>
      <c r="M10" s="19" t="str">
        <f aca="false">IF(OR($A10="",K10=""),"",IF(K10&lt;E10,"Por debajo del piso: pierdes",IF(J10="","Encima del piso (sin techo)",IF(K10&gt;J10,"Por encima del techo","Sí, entre piso y techo"))))</f>
        <v/>
      </c>
    </row>
    <row r="11" customFormat="false" ht="15" hidden="false" customHeight="false" outlineLevel="0" collapsed="false">
      <c r="A11" s="20"/>
      <c r="B11" s="17" t="str">
        <f aca="false">IF($A11="","",SUMIFS($F$17:$F$116,$A$17:$A$116,$A11,$B$17:$B$116,"Materia prima"))</f>
        <v/>
      </c>
      <c r="C11" s="17" t="str">
        <f aca="false">IF($A11="","",SUMIFS($F$17:$F$116,$A$17:$A$116,$A11,$B$17:$B$116,"Mano de obra"))</f>
        <v/>
      </c>
      <c r="D11" s="17" t="str">
        <f aca="false">IF($A11="","",SUMIFS($F$17:$F$116,$A$17:$A$116,$A11,$B$17:$B$116,"Costo indirecto"))</f>
        <v/>
      </c>
      <c r="E11" s="17" t="str">
        <f aca="false">IF($A11="","",B11+C11+D11)</f>
        <v/>
      </c>
      <c r="F11" s="21"/>
      <c r="G11" s="17" t="str">
        <f aca="false">IF(OR($A11="",F11=""),"",F11-E11)</f>
        <v/>
      </c>
      <c r="H11" s="19" t="str">
        <f aca="false">IF(G11="","",IF(G11&lt;0,"¡Pierdes plata!",IF(G11=0,"No ganas nada","Te deja ganancia")))</f>
        <v/>
      </c>
      <c r="I11" s="17" t="str">
        <f aca="false">IF($A11="","",ROUND(E11*(1+$F$2),-2))</f>
        <v/>
      </c>
      <c r="J11" s="21"/>
      <c r="K11" s="21"/>
      <c r="L11" s="17" t="str">
        <f aca="false">IF(OR($A11="",K11=""),"",K11-E11)</f>
        <v/>
      </c>
      <c r="M11" s="19" t="str">
        <f aca="false">IF(OR($A11="",K11=""),"",IF(K11&lt;E11,"Por debajo del piso: pierdes",IF(J11="","Encima del piso (sin techo)",IF(K11&gt;J11,"Por encima del techo","Sí, entre piso y techo"))))</f>
        <v/>
      </c>
    </row>
    <row r="12" customFormat="false" ht="15" hidden="false" customHeight="false" outlineLevel="0" collapsed="false">
      <c r="A12" s="20"/>
      <c r="B12" s="17" t="str">
        <f aca="false">IF($A12="","",SUMIFS($F$17:$F$116,$A$17:$A$116,$A12,$B$17:$B$116,"Materia prima"))</f>
        <v/>
      </c>
      <c r="C12" s="17" t="str">
        <f aca="false">IF($A12="","",SUMIFS($F$17:$F$116,$A$17:$A$116,$A12,$B$17:$B$116,"Mano de obra"))</f>
        <v/>
      </c>
      <c r="D12" s="17" t="str">
        <f aca="false">IF($A12="","",SUMIFS($F$17:$F$116,$A$17:$A$116,$A12,$B$17:$B$116,"Costo indirecto"))</f>
        <v/>
      </c>
      <c r="E12" s="17" t="str">
        <f aca="false">IF($A12="","",B12+C12+D12)</f>
        <v/>
      </c>
      <c r="F12" s="21"/>
      <c r="G12" s="17" t="str">
        <f aca="false">IF(OR($A12="",F12=""),"",F12-E12)</f>
        <v/>
      </c>
      <c r="H12" s="19" t="str">
        <f aca="false">IF(G12="","",IF(G12&lt;0,"¡Pierdes plata!",IF(G12=0,"No ganas nada","Te deja ganancia")))</f>
        <v/>
      </c>
      <c r="I12" s="17" t="str">
        <f aca="false">IF($A12="","",ROUND(E12*(1+$F$2),-2))</f>
        <v/>
      </c>
      <c r="J12" s="21"/>
      <c r="K12" s="21"/>
      <c r="L12" s="17" t="str">
        <f aca="false">IF(OR($A12="",K12=""),"",K12-E12)</f>
        <v/>
      </c>
      <c r="M12" s="19" t="str">
        <f aca="false">IF(OR($A12="",K12=""),"",IF(K12&lt;E12,"Por debajo del piso: pierdes",IF(J12="","Encima del piso (sin techo)",IF(K12&gt;J12,"Por encima del techo","Sí, entre piso y techo"))))</f>
        <v/>
      </c>
    </row>
    <row r="13" customFormat="false" ht="15" hidden="false" customHeight="false" outlineLevel="0" collapsed="false">
      <c r="A13" s="14" t="s">
        <v>34</v>
      </c>
    </row>
    <row r="15" customFormat="false" ht="15" hidden="false" customHeight="false" outlineLevel="0" collapsed="false">
      <c r="A15" s="22" t="s">
        <v>35</v>
      </c>
      <c r="H15" s="23" t="s">
        <v>36</v>
      </c>
    </row>
    <row r="16" customFormat="false" ht="31.5" hidden="false" customHeight="true" outlineLevel="0" collapsed="false">
      <c r="A16" s="24" t="s">
        <v>37</v>
      </c>
      <c r="B16" s="24" t="s">
        <v>38</v>
      </c>
      <c r="C16" s="24" t="s">
        <v>39</v>
      </c>
      <c r="D16" s="24" t="s">
        <v>40</v>
      </c>
      <c r="E16" s="24" t="s">
        <v>41</v>
      </c>
      <c r="F16" s="24" t="s">
        <v>42</v>
      </c>
    </row>
    <row r="17" customFormat="false" ht="15" hidden="false" customHeight="false" outlineLevel="0" collapsed="false">
      <c r="A17" s="16" t="s">
        <v>32</v>
      </c>
      <c r="B17" s="16" t="s">
        <v>43</v>
      </c>
      <c r="C17" s="16" t="s">
        <v>44</v>
      </c>
      <c r="D17" s="18" t="n">
        <v>22400</v>
      </c>
      <c r="E17" s="16" t="n">
        <v>32</v>
      </c>
      <c r="F17" s="25" t="n">
        <f aca="false">IF(OR(D17="",E17="",E17=0),"",D17/E17)</f>
        <v>700</v>
      </c>
    </row>
    <row r="18" customFormat="false" ht="15" hidden="false" customHeight="false" outlineLevel="0" collapsed="false">
      <c r="A18" s="16" t="s">
        <v>32</v>
      </c>
      <c r="B18" s="16" t="s">
        <v>43</v>
      </c>
      <c r="C18" s="16" t="s">
        <v>45</v>
      </c>
      <c r="D18" s="18" t="n">
        <v>2560</v>
      </c>
      <c r="E18" s="16" t="n">
        <v>32</v>
      </c>
      <c r="F18" s="25" t="n">
        <f aca="false">IF(OR(D18="",E18="",E18=0),"",D18/E18)</f>
        <v>80</v>
      </c>
    </row>
    <row r="19" customFormat="false" ht="15" hidden="false" customHeight="false" outlineLevel="0" collapsed="false">
      <c r="A19" s="16" t="s">
        <v>32</v>
      </c>
      <c r="B19" s="16" t="s">
        <v>43</v>
      </c>
      <c r="C19" s="16" t="s">
        <v>46</v>
      </c>
      <c r="D19" s="18" t="n">
        <v>2880</v>
      </c>
      <c r="E19" s="16" t="n">
        <v>32</v>
      </c>
      <c r="F19" s="25" t="n">
        <f aca="false">IF(OR(D19="",E19="",E19=0),"",D19/E19)</f>
        <v>90</v>
      </c>
    </row>
    <row r="20" customFormat="false" ht="15" hidden="false" customHeight="false" outlineLevel="0" collapsed="false">
      <c r="A20" s="16" t="s">
        <v>32</v>
      </c>
      <c r="B20" s="16" t="s">
        <v>43</v>
      </c>
      <c r="C20" s="16" t="s">
        <v>47</v>
      </c>
      <c r="D20" s="18" t="n">
        <v>4160</v>
      </c>
      <c r="E20" s="16" t="n">
        <v>32</v>
      </c>
      <c r="F20" s="25" t="n">
        <f aca="false">IF(OR(D20="",E20="",E20=0),"",D20/E20)</f>
        <v>130</v>
      </c>
    </row>
    <row r="21" customFormat="false" ht="15" hidden="false" customHeight="false" outlineLevel="0" collapsed="false">
      <c r="A21" s="16" t="s">
        <v>32</v>
      </c>
      <c r="B21" s="16" t="s">
        <v>48</v>
      </c>
      <c r="C21" s="16" t="s">
        <v>49</v>
      </c>
      <c r="D21" s="18" t="n">
        <v>12800</v>
      </c>
      <c r="E21" s="16" t="n">
        <v>32</v>
      </c>
      <c r="F21" s="25" t="n">
        <f aca="false">IF(OR(D21="",E21="",E21=0),"",D21/E21)</f>
        <v>400</v>
      </c>
    </row>
    <row r="22" customFormat="false" ht="15" hidden="false" customHeight="false" outlineLevel="0" collapsed="false">
      <c r="A22" s="16" t="s">
        <v>32</v>
      </c>
      <c r="B22" s="16" t="s">
        <v>50</v>
      </c>
      <c r="C22" s="16" t="s">
        <v>51</v>
      </c>
      <c r="D22" s="18" t="n">
        <v>4800</v>
      </c>
      <c r="E22" s="16" t="n">
        <v>32</v>
      </c>
      <c r="F22" s="25" t="n">
        <f aca="false">IF(OR(D22="",E22="",E22=0),"",D22/E22)</f>
        <v>150</v>
      </c>
    </row>
    <row r="23" customFormat="false" ht="15" hidden="false" customHeight="false" outlineLevel="0" collapsed="false">
      <c r="A23" s="16" t="s">
        <v>33</v>
      </c>
      <c r="B23" s="16" t="s">
        <v>43</v>
      </c>
      <c r="C23" s="16" t="s">
        <v>52</v>
      </c>
      <c r="D23" s="18" t="n">
        <v>12800</v>
      </c>
      <c r="E23" s="16" t="n">
        <v>8</v>
      </c>
      <c r="F23" s="25" t="n">
        <f aca="false">IF(OR(D23="",E23="",E23=0),"",D23/E23)</f>
        <v>1600</v>
      </c>
    </row>
    <row r="24" customFormat="false" ht="15" hidden="false" customHeight="false" outlineLevel="0" collapsed="false">
      <c r="A24" s="16" t="s">
        <v>33</v>
      </c>
      <c r="B24" s="16" t="s">
        <v>43</v>
      </c>
      <c r="C24" s="16" t="s">
        <v>53</v>
      </c>
      <c r="D24" s="18" t="n">
        <v>1200</v>
      </c>
      <c r="E24" s="16" t="n">
        <v>8</v>
      </c>
      <c r="F24" s="25" t="n">
        <f aca="false">IF(OR(D24="",E24="",E24=0),"",D24/E24)</f>
        <v>150</v>
      </c>
    </row>
    <row r="25" customFormat="false" ht="15" hidden="false" customHeight="false" outlineLevel="0" collapsed="false">
      <c r="A25" s="16" t="s">
        <v>33</v>
      </c>
      <c r="B25" s="16" t="s">
        <v>43</v>
      </c>
      <c r="C25" s="16" t="s">
        <v>54</v>
      </c>
      <c r="D25" s="18" t="n">
        <v>1200</v>
      </c>
      <c r="E25" s="16" t="n">
        <v>8</v>
      </c>
      <c r="F25" s="25" t="n">
        <f aca="false">IF(OR(D25="",E25="",E25=0),"",D25/E25)</f>
        <v>150</v>
      </c>
    </row>
    <row r="26" customFormat="false" ht="15" hidden="false" customHeight="false" outlineLevel="0" collapsed="false">
      <c r="A26" s="16" t="s">
        <v>33</v>
      </c>
      <c r="B26" s="16" t="s">
        <v>43</v>
      </c>
      <c r="C26" s="16" t="s">
        <v>55</v>
      </c>
      <c r="D26" s="18" t="n">
        <v>2000</v>
      </c>
      <c r="E26" s="16" t="n">
        <v>8</v>
      </c>
      <c r="F26" s="25" t="n">
        <f aca="false">IF(OR(D26="",E26="",E26=0),"",D26/E26)</f>
        <v>250</v>
      </c>
    </row>
    <row r="27" customFormat="false" ht="15" hidden="false" customHeight="false" outlineLevel="0" collapsed="false">
      <c r="A27" s="16" t="s">
        <v>33</v>
      </c>
      <c r="B27" s="16" t="s">
        <v>48</v>
      </c>
      <c r="C27" s="16" t="s">
        <v>56</v>
      </c>
      <c r="D27" s="18" t="n">
        <v>5600</v>
      </c>
      <c r="E27" s="16" t="n">
        <v>8</v>
      </c>
      <c r="F27" s="25" t="n">
        <f aca="false">IF(OR(D27="",E27="",E27=0),"",D27/E27)</f>
        <v>700</v>
      </c>
    </row>
    <row r="28" customFormat="false" ht="15" hidden="false" customHeight="false" outlineLevel="0" collapsed="false">
      <c r="A28" s="16" t="s">
        <v>33</v>
      </c>
      <c r="B28" s="16" t="s">
        <v>50</v>
      </c>
      <c r="C28" s="16" t="s">
        <v>57</v>
      </c>
      <c r="D28" s="18" t="n">
        <v>2000</v>
      </c>
      <c r="E28" s="16" t="n">
        <v>8</v>
      </c>
      <c r="F28" s="25" t="n">
        <f aca="false">IF(OR(D28="",E28="",E28=0),"",D28/E28)</f>
        <v>250</v>
      </c>
    </row>
    <row r="29" customFormat="false" ht="15" hidden="false" customHeight="false" outlineLevel="0" collapsed="false">
      <c r="A29" s="20"/>
      <c r="B29" s="20"/>
      <c r="C29" s="20"/>
      <c r="D29" s="21"/>
      <c r="E29" s="20"/>
      <c r="F29" s="17" t="str">
        <f aca="false">IF(OR(D29="",E29="",E29=0),"",D29/E29)</f>
        <v/>
      </c>
    </row>
    <row r="30" customFormat="false" ht="15" hidden="false" customHeight="false" outlineLevel="0" collapsed="false">
      <c r="A30" s="20"/>
      <c r="B30" s="20"/>
      <c r="C30" s="20"/>
      <c r="D30" s="21"/>
      <c r="E30" s="20"/>
      <c r="F30" s="17" t="str">
        <f aca="false">IF(OR(D30="",E30="",E30=0),"",D30/E30)</f>
        <v/>
      </c>
    </row>
    <row r="31" customFormat="false" ht="15" hidden="false" customHeight="false" outlineLevel="0" collapsed="false">
      <c r="A31" s="20"/>
      <c r="B31" s="20"/>
      <c r="C31" s="20"/>
      <c r="D31" s="21"/>
      <c r="E31" s="20"/>
      <c r="F31" s="17" t="str">
        <f aca="false">IF(OR(D31="",E31="",E31=0),"",D31/E31)</f>
        <v/>
      </c>
    </row>
    <row r="32" customFormat="false" ht="15" hidden="false" customHeight="false" outlineLevel="0" collapsed="false">
      <c r="A32" s="20"/>
      <c r="B32" s="20"/>
      <c r="C32" s="20"/>
      <c r="D32" s="21"/>
      <c r="E32" s="20"/>
      <c r="F32" s="17" t="str">
        <f aca="false">IF(OR(D32="",E32="",E32=0),"",D32/E32)</f>
        <v/>
      </c>
    </row>
    <row r="33" customFormat="false" ht="15" hidden="false" customHeight="false" outlineLevel="0" collapsed="false">
      <c r="A33" s="20"/>
      <c r="B33" s="20"/>
      <c r="C33" s="20"/>
      <c r="D33" s="21"/>
      <c r="E33" s="20"/>
      <c r="F33" s="17" t="str">
        <f aca="false">IF(OR(D33="",E33="",E33=0),"",D33/E33)</f>
        <v/>
      </c>
    </row>
    <row r="34" customFormat="false" ht="15" hidden="false" customHeight="false" outlineLevel="0" collapsed="false">
      <c r="A34" s="20"/>
      <c r="B34" s="20"/>
      <c r="C34" s="20"/>
      <c r="D34" s="21"/>
      <c r="E34" s="20"/>
      <c r="F34" s="17" t="str">
        <f aca="false">IF(OR(D34="",E34="",E34=0),"",D34/E34)</f>
        <v/>
      </c>
    </row>
    <row r="35" customFormat="false" ht="15" hidden="false" customHeight="false" outlineLevel="0" collapsed="false">
      <c r="A35" s="20"/>
      <c r="B35" s="20"/>
      <c r="C35" s="20"/>
      <c r="D35" s="21"/>
      <c r="E35" s="20"/>
      <c r="F35" s="17" t="str">
        <f aca="false">IF(OR(D35="",E35="",E35=0),"",D35/E35)</f>
        <v/>
      </c>
    </row>
    <row r="36" customFormat="false" ht="15" hidden="false" customHeight="false" outlineLevel="0" collapsed="false">
      <c r="A36" s="20"/>
      <c r="B36" s="20"/>
      <c r="C36" s="20"/>
      <c r="D36" s="21"/>
      <c r="E36" s="20"/>
      <c r="F36" s="17" t="str">
        <f aca="false">IF(OR(D36="",E36="",E36=0),"",D36/E36)</f>
        <v/>
      </c>
    </row>
    <row r="37" customFormat="false" ht="15" hidden="false" customHeight="false" outlineLevel="0" collapsed="false">
      <c r="A37" s="20"/>
      <c r="B37" s="20"/>
      <c r="C37" s="20"/>
      <c r="D37" s="21"/>
      <c r="E37" s="20"/>
      <c r="F37" s="17" t="str">
        <f aca="false">IF(OR(D37="",E37="",E37=0),"",D37/E37)</f>
        <v/>
      </c>
    </row>
    <row r="38" customFormat="false" ht="15" hidden="false" customHeight="false" outlineLevel="0" collapsed="false">
      <c r="A38" s="20"/>
      <c r="B38" s="20"/>
      <c r="C38" s="20"/>
      <c r="D38" s="21"/>
      <c r="E38" s="20"/>
      <c r="F38" s="17" t="str">
        <f aca="false">IF(OR(D38="",E38="",E38=0),"",D38/E38)</f>
        <v/>
      </c>
    </row>
    <row r="39" customFormat="false" ht="15" hidden="false" customHeight="false" outlineLevel="0" collapsed="false">
      <c r="A39" s="20"/>
      <c r="B39" s="20"/>
      <c r="C39" s="20"/>
      <c r="D39" s="21"/>
      <c r="E39" s="20"/>
      <c r="F39" s="17" t="str">
        <f aca="false">IF(OR(D39="",E39="",E39=0),"",D39/E39)</f>
        <v/>
      </c>
    </row>
    <row r="40" customFormat="false" ht="15" hidden="false" customHeight="false" outlineLevel="0" collapsed="false">
      <c r="A40" s="20"/>
      <c r="B40" s="20"/>
      <c r="C40" s="20"/>
      <c r="D40" s="21"/>
      <c r="E40" s="20"/>
      <c r="F40" s="17" t="str">
        <f aca="false">IF(OR(D40="",E40="",E40=0),"",D40/E40)</f>
        <v/>
      </c>
    </row>
    <row r="41" customFormat="false" ht="15" hidden="false" customHeight="false" outlineLevel="0" collapsed="false">
      <c r="A41" s="20"/>
      <c r="B41" s="20"/>
      <c r="C41" s="20"/>
      <c r="D41" s="21"/>
      <c r="E41" s="20"/>
      <c r="F41" s="17" t="str">
        <f aca="false">IF(OR(D41="",E41="",E41=0),"",D41/E41)</f>
        <v/>
      </c>
    </row>
    <row r="42" customFormat="false" ht="15" hidden="false" customHeight="false" outlineLevel="0" collapsed="false">
      <c r="A42" s="20"/>
      <c r="B42" s="20"/>
      <c r="C42" s="20"/>
      <c r="D42" s="21"/>
      <c r="E42" s="20"/>
      <c r="F42" s="17" t="str">
        <f aca="false">IF(OR(D42="",E42="",E42=0),"",D42/E42)</f>
        <v/>
      </c>
    </row>
    <row r="43" customFormat="false" ht="15" hidden="false" customHeight="false" outlineLevel="0" collapsed="false">
      <c r="A43" s="20"/>
      <c r="B43" s="20"/>
      <c r="C43" s="20"/>
      <c r="D43" s="21"/>
      <c r="E43" s="20"/>
      <c r="F43" s="17" t="str">
        <f aca="false">IF(OR(D43="",E43="",E43=0),"",D43/E43)</f>
        <v/>
      </c>
    </row>
    <row r="44" customFormat="false" ht="15" hidden="false" customHeight="false" outlineLevel="0" collapsed="false">
      <c r="A44" s="20"/>
      <c r="B44" s="20"/>
      <c r="C44" s="20"/>
      <c r="D44" s="21"/>
      <c r="E44" s="20"/>
      <c r="F44" s="17" t="str">
        <f aca="false">IF(OR(D44="",E44="",E44=0),"",D44/E44)</f>
        <v/>
      </c>
    </row>
    <row r="45" customFormat="false" ht="15" hidden="false" customHeight="false" outlineLevel="0" collapsed="false">
      <c r="A45" s="20"/>
      <c r="B45" s="20"/>
      <c r="C45" s="20"/>
      <c r="D45" s="21"/>
      <c r="E45" s="20"/>
      <c r="F45" s="17" t="str">
        <f aca="false">IF(OR(D45="",E45="",E45=0),"",D45/E45)</f>
        <v/>
      </c>
    </row>
    <row r="46" customFormat="false" ht="15" hidden="false" customHeight="false" outlineLevel="0" collapsed="false">
      <c r="A46" s="20"/>
      <c r="B46" s="20"/>
      <c r="C46" s="20"/>
      <c r="D46" s="21"/>
      <c r="E46" s="20"/>
      <c r="F46" s="17" t="str">
        <f aca="false">IF(OR(D46="",E46="",E46=0),"",D46/E46)</f>
        <v/>
      </c>
    </row>
    <row r="47" customFormat="false" ht="15" hidden="false" customHeight="false" outlineLevel="0" collapsed="false">
      <c r="A47" s="20"/>
      <c r="B47" s="20"/>
      <c r="C47" s="20"/>
      <c r="D47" s="21"/>
      <c r="E47" s="20"/>
      <c r="F47" s="17" t="str">
        <f aca="false">IF(OR(D47="",E47="",E47=0),"",D47/E47)</f>
        <v/>
      </c>
    </row>
    <row r="48" customFormat="false" ht="15" hidden="false" customHeight="false" outlineLevel="0" collapsed="false">
      <c r="A48" s="20"/>
      <c r="B48" s="20"/>
      <c r="C48" s="20"/>
      <c r="D48" s="21"/>
      <c r="E48" s="20"/>
      <c r="F48" s="17" t="str">
        <f aca="false">IF(OR(D48="",E48="",E48=0),"",D48/E48)</f>
        <v/>
      </c>
    </row>
    <row r="49" customFormat="false" ht="15" hidden="false" customHeight="false" outlineLevel="0" collapsed="false">
      <c r="A49" s="20"/>
      <c r="B49" s="20"/>
      <c r="C49" s="20"/>
      <c r="D49" s="21"/>
      <c r="E49" s="20"/>
      <c r="F49" s="17" t="str">
        <f aca="false">IF(OR(D49="",E49="",E49=0),"",D49/E49)</f>
        <v/>
      </c>
    </row>
    <row r="50" customFormat="false" ht="15" hidden="false" customHeight="false" outlineLevel="0" collapsed="false">
      <c r="A50" s="20"/>
      <c r="B50" s="20"/>
      <c r="C50" s="20"/>
      <c r="D50" s="21"/>
      <c r="E50" s="20"/>
      <c r="F50" s="17" t="str">
        <f aca="false">IF(OR(D50="",E50="",E50=0),"",D50/E50)</f>
        <v/>
      </c>
    </row>
    <row r="51" customFormat="false" ht="15" hidden="false" customHeight="false" outlineLevel="0" collapsed="false">
      <c r="A51" s="20"/>
      <c r="B51" s="20"/>
      <c r="C51" s="20"/>
      <c r="D51" s="21"/>
      <c r="E51" s="20"/>
      <c r="F51" s="17" t="str">
        <f aca="false">IF(OR(D51="",E51="",E51=0),"",D51/E51)</f>
        <v/>
      </c>
    </row>
    <row r="52" customFormat="false" ht="15" hidden="false" customHeight="false" outlineLevel="0" collapsed="false">
      <c r="A52" s="20"/>
      <c r="B52" s="20"/>
      <c r="C52" s="20"/>
      <c r="D52" s="21"/>
      <c r="E52" s="20"/>
      <c r="F52" s="17" t="str">
        <f aca="false">IF(OR(D52="",E52="",E52=0),"",D52/E52)</f>
        <v/>
      </c>
    </row>
    <row r="53" customFormat="false" ht="15" hidden="false" customHeight="false" outlineLevel="0" collapsed="false">
      <c r="A53" s="20"/>
      <c r="B53" s="20"/>
      <c r="C53" s="20"/>
      <c r="D53" s="21"/>
      <c r="E53" s="20"/>
      <c r="F53" s="17" t="str">
        <f aca="false">IF(OR(D53="",E53="",E53=0),"",D53/E53)</f>
        <v/>
      </c>
    </row>
    <row r="54" customFormat="false" ht="15" hidden="false" customHeight="false" outlineLevel="0" collapsed="false">
      <c r="A54" s="20"/>
      <c r="B54" s="20"/>
      <c r="C54" s="20"/>
      <c r="D54" s="21"/>
      <c r="E54" s="20"/>
      <c r="F54" s="17" t="str">
        <f aca="false">IF(OR(D54="",E54="",E54=0),"",D54/E54)</f>
        <v/>
      </c>
    </row>
    <row r="55" customFormat="false" ht="15" hidden="false" customHeight="false" outlineLevel="0" collapsed="false">
      <c r="A55" s="20"/>
      <c r="B55" s="20"/>
      <c r="C55" s="20"/>
      <c r="D55" s="21"/>
      <c r="E55" s="20"/>
      <c r="F55" s="17" t="str">
        <f aca="false">IF(OR(D55="",E55="",E55=0),"",D55/E55)</f>
        <v/>
      </c>
    </row>
    <row r="56" customFormat="false" ht="15" hidden="false" customHeight="false" outlineLevel="0" collapsed="false">
      <c r="A56" s="20"/>
      <c r="B56" s="20"/>
      <c r="C56" s="20"/>
      <c r="D56" s="21"/>
      <c r="E56" s="20"/>
      <c r="F56" s="17" t="str">
        <f aca="false">IF(OR(D56="",E56="",E56=0),"",D56/E56)</f>
        <v/>
      </c>
    </row>
    <row r="57" customFormat="false" ht="15" hidden="false" customHeight="false" outlineLevel="0" collapsed="false">
      <c r="A57" s="20"/>
      <c r="B57" s="20"/>
      <c r="C57" s="20"/>
      <c r="D57" s="21"/>
      <c r="E57" s="20"/>
      <c r="F57" s="17" t="str">
        <f aca="false">IF(OR(D57="",E57="",E57=0),"",D57/E57)</f>
        <v/>
      </c>
    </row>
    <row r="58" customFormat="false" ht="15" hidden="false" customHeight="false" outlineLevel="0" collapsed="false">
      <c r="A58" s="20"/>
      <c r="B58" s="20"/>
      <c r="C58" s="20"/>
      <c r="D58" s="21"/>
      <c r="E58" s="20"/>
      <c r="F58" s="17" t="str">
        <f aca="false">IF(OR(D58="",E58="",E58=0),"",D58/E58)</f>
        <v/>
      </c>
    </row>
    <row r="59" customFormat="false" ht="15" hidden="false" customHeight="false" outlineLevel="0" collapsed="false">
      <c r="A59" s="20"/>
      <c r="B59" s="20"/>
      <c r="C59" s="20"/>
      <c r="D59" s="21"/>
      <c r="E59" s="20"/>
      <c r="F59" s="17" t="str">
        <f aca="false">IF(OR(D59="",E59="",E59=0),"",D59/E59)</f>
        <v/>
      </c>
    </row>
    <row r="60" customFormat="false" ht="15" hidden="false" customHeight="false" outlineLevel="0" collapsed="false">
      <c r="A60" s="20"/>
      <c r="B60" s="20"/>
      <c r="C60" s="20"/>
      <c r="D60" s="21"/>
      <c r="E60" s="20"/>
      <c r="F60" s="17" t="str">
        <f aca="false">IF(OR(D60="",E60="",E60=0),"",D60/E60)</f>
        <v/>
      </c>
    </row>
    <row r="61" customFormat="false" ht="15" hidden="false" customHeight="false" outlineLevel="0" collapsed="false">
      <c r="A61" s="20"/>
      <c r="B61" s="20"/>
      <c r="C61" s="20"/>
      <c r="D61" s="21"/>
      <c r="E61" s="20"/>
      <c r="F61" s="17" t="str">
        <f aca="false">IF(OR(D61="",E61="",E61=0),"",D61/E61)</f>
        <v/>
      </c>
    </row>
    <row r="62" customFormat="false" ht="15" hidden="false" customHeight="false" outlineLevel="0" collapsed="false">
      <c r="A62" s="20"/>
      <c r="B62" s="20"/>
      <c r="C62" s="20"/>
      <c r="D62" s="21"/>
      <c r="E62" s="20"/>
      <c r="F62" s="17" t="str">
        <f aca="false">IF(OR(D62="",E62="",E62=0),"",D62/E62)</f>
        <v/>
      </c>
    </row>
    <row r="63" customFormat="false" ht="15" hidden="false" customHeight="false" outlineLevel="0" collapsed="false">
      <c r="A63" s="20"/>
      <c r="B63" s="20"/>
      <c r="C63" s="20"/>
      <c r="D63" s="21"/>
      <c r="E63" s="20"/>
      <c r="F63" s="17" t="str">
        <f aca="false">IF(OR(D63="",E63="",E63=0),"",D63/E63)</f>
        <v/>
      </c>
    </row>
    <row r="64" customFormat="false" ht="15" hidden="false" customHeight="false" outlineLevel="0" collapsed="false">
      <c r="A64" s="20"/>
      <c r="B64" s="20"/>
      <c r="C64" s="20"/>
      <c r="D64" s="21"/>
      <c r="E64" s="20"/>
      <c r="F64" s="17" t="str">
        <f aca="false">IF(OR(D64="",E64="",E64=0),"",D64/E64)</f>
        <v/>
      </c>
    </row>
    <row r="65" customFormat="false" ht="15" hidden="false" customHeight="false" outlineLevel="0" collapsed="false">
      <c r="A65" s="20"/>
      <c r="B65" s="20"/>
      <c r="C65" s="20"/>
      <c r="D65" s="21"/>
      <c r="E65" s="20"/>
      <c r="F65" s="17" t="str">
        <f aca="false">IF(OR(D65="",E65="",E65=0),"",D65/E65)</f>
        <v/>
      </c>
    </row>
    <row r="66" customFormat="false" ht="15" hidden="false" customHeight="false" outlineLevel="0" collapsed="false">
      <c r="A66" s="20"/>
      <c r="B66" s="20"/>
      <c r="C66" s="20"/>
      <c r="D66" s="21"/>
      <c r="E66" s="20"/>
      <c r="F66" s="17" t="str">
        <f aca="false">IF(OR(D66="",E66="",E66=0),"",D66/E66)</f>
        <v/>
      </c>
    </row>
    <row r="67" customFormat="false" ht="15" hidden="false" customHeight="false" outlineLevel="0" collapsed="false">
      <c r="A67" s="20"/>
      <c r="B67" s="20"/>
      <c r="C67" s="20"/>
      <c r="D67" s="21"/>
      <c r="E67" s="20"/>
      <c r="F67" s="17" t="str">
        <f aca="false">IF(OR(D67="",E67="",E67=0),"",D67/E67)</f>
        <v/>
      </c>
    </row>
    <row r="68" customFormat="false" ht="15" hidden="false" customHeight="false" outlineLevel="0" collapsed="false">
      <c r="A68" s="20"/>
      <c r="B68" s="20"/>
      <c r="C68" s="20"/>
      <c r="D68" s="21"/>
      <c r="E68" s="20"/>
      <c r="F68" s="17" t="str">
        <f aca="false">IF(OR(D68="",E68="",E68=0),"",D68/E68)</f>
        <v/>
      </c>
    </row>
    <row r="69" customFormat="false" ht="15" hidden="false" customHeight="false" outlineLevel="0" collapsed="false">
      <c r="A69" s="20"/>
      <c r="B69" s="20"/>
      <c r="C69" s="20"/>
      <c r="D69" s="21"/>
      <c r="E69" s="20"/>
      <c r="F69" s="17" t="str">
        <f aca="false">IF(OR(D69="",E69="",E69=0),"",D69/E69)</f>
        <v/>
      </c>
    </row>
    <row r="70" customFormat="false" ht="15" hidden="false" customHeight="false" outlineLevel="0" collapsed="false">
      <c r="A70" s="20"/>
      <c r="B70" s="20"/>
      <c r="C70" s="20"/>
      <c r="D70" s="21"/>
      <c r="E70" s="20"/>
      <c r="F70" s="17" t="str">
        <f aca="false">IF(OR(D70="",E70="",E70=0),"",D70/E70)</f>
        <v/>
      </c>
    </row>
    <row r="71" customFormat="false" ht="15" hidden="false" customHeight="false" outlineLevel="0" collapsed="false">
      <c r="A71" s="20"/>
      <c r="B71" s="20"/>
      <c r="C71" s="20"/>
      <c r="D71" s="21"/>
      <c r="E71" s="20"/>
      <c r="F71" s="17" t="str">
        <f aca="false">IF(OR(D71="",E71="",E71=0),"",D71/E71)</f>
        <v/>
      </c>
    </row>
    <row r="72" customFormat="false" ht="15" hidden="false" customHeight="false" outlineLevel="0" collapsed="false">
      <c r="A72" s="20"/>
      <c r="B72" s="20"/>
      <c r="C72" s="20"/>
      <c r="D72" s="21"/>
      <c r="E72" s="20"/>
      <c r="F72" s="17" t="str">
        <f aca="false">IF(OR(D72="",E72="",E72=0),"",D72/E72)</f>
        <v/>
      </c>
    </row>
    <row r="73" customFormat="false" ht="15" hidden="false" customHeight="false" outlineLevel="0" collapsed="false">
      <c r="A73" s="20"/>
      <c r="B73" s="20"/>
      <c r="C73" s="20"/>
      <c r="D73" s="21"/>
      <c r="E73" s="20"/>
      <c r="F73" s="17" t="str">
        <f aca="false">IF(OR(D73="",E73="",E73=0),"",D73/E73)</f>
        <v/>
      </c>
    </row>
    <row r="74" customFormat="false" ht="15" hidden="false" customHeight="false" outlineLevel="0" collapsed="false">
      <c r="A74" s="20"/>
      <c r="B74" s="20"/>
      <c r="C74" s="20"/>
      <c r="D74" s="21"/>
      <c r="E74" s="20"/>
      <c r="F74" s="17" t="str">
        <f aca="false">IF(OR(D74="",E74="",E74=0),"",D74/E74)</f>
        <v/>
      </c>
    </row>
    <row r="75" customFormat="false" ht="15" hidden="false" customHeight="false" outlineLevel="0" collapsed="false">
      <c r="A75" s="20"/>
      <c r="B75" s="20"/>
      <c r="C75" s="20"/>
      <c r="D75" s="21"/>
      <c r="E75" s="20"/>
      <c r="F75" s="17" t="str">
        <f aca="false">IF(OR(D75="",E75="",E75=0),"",D75/E75)</f>
        <v/>
      </c>
    </row>
    <row r="76" customFormat="false" ht="15" hidden="false" customHeight="false" outlineLevel="0" collapsed="false">
      <c r="A76" s="20"/>
      <c r="B76" s="20"/>
      <c r="C76" s="20"/>
      <c r="D76" s="21"/>
      <c r="E76" s="20"/>
      <c r="F76" s="17" t="str">
        <f aca="false">IF(OR(D76="",E76="",E76=0),"",D76/E76)</f>
        <v/>
      </c>
    </row>
    <row r="77" customFormat="false" ht="15" hidden="false" customHeight="false" outlineLevel="0" collapsed="false">
      <c r="A77" s="20"/>
      <c r="B77" s="20"/>
      <c r="C77" s="20"/>
      <c r="D77" s="21"/>
      <c r="E77" s="20"/>
      <c r="F77" s="17" t="str">
        <f aca="false">IF(OR(D77="",E77="",E77=0),"",D77/E77)</f>
        <v/>
      </c>
    </row>
    <row r="78" customFormat="false" ht="15" hidden="false" customHeight="false" outlineLevel="0" collapsed="false">
      <c r="A78" s="20"/>
      <c r="B78" s="20"/>
      <c r="C78" s="20"/>
      <c r="D78" s="21"/>
      <c r="E78" s="20"/>
      <c r="F78" s="17" t="str">
        <f aca="false">IF(OR(D78="",E78="",E78=0),"",D78/E78)</f>
        <v/>
      </c>
    </row>
    <row r="79" customFormat="false" ht="15" hidden="false" customHeight="false" outlineLevel="0" collapsed="false">
      <c r="A79" s="20"/>
      <c r="B79" s="20"/>
      <c r="C79" s="20"/>
      <c r="D79" s="21"/>
      <c r="E79" s="20"/>
      <c r="F79" s="17" t="str">
        <f aca="false">IF(OR(D79="",E79="",E79=0),"",D79/E79)</f>
        <v/>
      </c>
    </row>
    <row r="80" customFormat="false" ht="15" hidden="false" customHeight="false" outlineLevel="0" collapsed="false">
      <c r="A80" s="20"/>
      <c r="B80" s="20"/>
      <c r="C80" s="20"/>
      <c r="D80" s="21"/>
      <c r="E80" s="20"/>
      <c r="F80" s="17" t="str">
        <f aca="false">IF(OR(D80="",E80="",E80=0),"",D80/E80)</f>
        <v/>
      </c>
    </row>
    <row r="81" customFormat="false" ht="15" hidden="false" customHeight="false" outlineLevel="0" collapsed="false">
      <c r="A81" s="20"/>
      <c r="B81" s="20"/>
      <c r="C81" s="20"/>
      <c r="D81" s="21"/>
      <c r="E81" s="20"/>
      <c r="F81" s="17" t="str">
        <f aca="false">IF(OR(D81="",E81="",E81=0),"",D81/E81)</f>
        <v/>
      </c>
    </row>
    <row r="82" customFormat="false" ht="15" hidden="false" customHeight="false" outlineLevel="0" collapsed="false">
      <c r="A82" s="20"/>
      <c r="B82" s="20"/>
      <c r="C82" s="20"/>
      <c r="D82" s="21"/>
      <c r="E82" s="20"/>
      <c r="F82" s="17" t="str">
        <f aca="false">IF(OR(D82="",E82="",E82=0),"",D82/E82)</f>
        <v/>
      </c>
    </row>
    <row r="83" customFormat="false" ht="15" hidden="false" customHeight="false" outlineLevel="0" collapsed="false">
      <c r="A83" s="20"/>
      <c r="B83" s="20"/>
      <c r="C83" s="20"/>
      <c r="D83" s="21"/>
      <c r="E83" s="20"/>
      <c r="F83" s="17" t="str">
        <f aca="false">IF(OR(D83="",E83="",E83=0),"",D83/E83)</f>
        <v/>
      </c>
    </row>
    <row r="84" customFormat="false" ht="15" hidden="false" customHeight="false" outlineLevel="0" collapsed="false">
      <c r="A84" s="20"/>
      <c r="B84" s="20"/>
      <c r="C84" s="20"/>
      <c r="D84" s="21"/>
      <c r="E84" s="20"/>
      <c r="F84" s="17" t="str">
        <f aca="false">IF(OR(D84="",E84="",E84=0),"",D84/E84)</f>
        <v/>
      </c>
    </row>
    <row r="85" customFormat="false" ht="15" hidden="false" customHeight="false" outlineLevel="0" collapsed="false">
      <c r="A85" s="20"/>
      <c r="B85" s="20"/>
      <c r="C85" s="20"/>
      <c r="D85" s="21"/>
      <c r="E85" s="20"/>
      <c r="F85" s="17" t="str">
        <f aca="false">IF(OR(D85="",E85="",E85=0),"",D85/E85)</f>
        <v/>
      </c>
    </row>
    <row r="86" customFormat="false" ht="15" hidden="false" customHeight="false" outlineLevel="0" collapsed="false">
      <c r="A86" s="20"/>
      <c r="B86" s="20"/>
      <c r="C86" s="20"/>
      <c r="D86" s="21"/>
      <c r="E86" s="20"/>
      <c r="F86" s="17" t="str">
        <f aca="false">IF(OR(D86="",E86="",E86=0),"",D86/E86)</f>
        <v/>
      </c>
    </row>
    <row r="87" customFormat="false" ht="15" hidden="false" customHeight="false" outlineLevel="0" collapsed="false">
      <c r="A87" s="20"/>
      <c r="B87" s="20"/>
      <c r="C87" s="20"/>
      <c r="D87" s="21"/>
      <c r="E87" s="20"/>
      <c r="F87" s="17" t="str">
        <f aca="false">IF(OR(D87="",E87="",E87=0),"",D87/E87)</f>
        <v/>
      </c>
    </row>
    <row r="88" customFormat="false" ht="15" hidden="false" customHeight="false" outlineLevel="0" collapsed="false">
      <c r="A88" s="20"/>
      <c r="B88" s="20"/>
      <c r="C88" s="20"/>
      <c r="D88" s="21"/>
      <c r="E88" s="20"/>
      <c r="F88" s="17" t="str">
        <f aca="false">IF(OR(D88="",E88="",E88=0),"",D88/E88)</f>
        <v/>
      </c>
    </row>
    <row r="89" customFormat="false" ht="15" hidden="false" customHeight="false" outlineLevel="0" collapsed="false">
      <c r="A89" s="20"/>
      <c r="B89" s="20"/>
      <c r="C89" s="20"/>
      <c r="D89" s="21"/>
      <c r="E89" s="20"/>
      <c r="F89" s="17" t="str">
        <f aca="false">IF(OR(D89="",E89="",E89=0),"",D89/E89)</f>
        <v/>
      </c>
    </row>
    <row r="90" customFormat="false" ht="15" hidden="false" customHeight="false" outlineLevel="0" collapsed="false">
      <c r="A90" s="20"/>
      <c r="B90" s="20"/>
      <c r="C90" s="20"/>
      <c r="D90" s="21"/>
      <c r="E90" s="20"/>
      <c r="F90" s="17" t="str">
        <f aca="false">IF(OR(D90="",E90="",E90=0),"",D90/E90)</f>
        <v/>
      </c>
    </row>
    <row r="91" customFormat="false" ht="15" hidden="false" customHeight="false" outlineLevel="0" collapsed="false">
      <c r="A91" s="20"/>
      <c r="B91" s="20"/>
      <c r="C91" s="20"/>
      <c r="D91" s="21"/>
      <c r="E91" s="20"/>
      <c r="F91" s="17" t="str">
        <f aca="false">IF(OR(D91="",E91="",E91=0),"",D91/E91)</f>
        <v/>
      </c>
    </row>
    <row r="92" customFormat="false" ht="15" hidden="false" customHeight="false" outlineLevel="0" collapsed="false">
      <c r="A92" s="20"/>
      <c r="B92" s="20"/>
      <c r="C92" s="20"/>
      <c r="D92" s="21"/>
      <c r="E92" s="20"/>
      <c r="F92" s="17" t="str">
        <f aca="false">IF(OR(D92="",E92="",E92=0),"",D92/E92)</f>
        <v/>
      </c>
    </row>
    <row r="93" customFormat="false" ht="15" hidden="false" customHeight="false" outlineLevel="0" collapsed="false">
      <c r="A93" s="20"/>
      <c r="B93" s="20"/>
      <c r="C93" s="20"/>
      <c r="D93" s="21"/>
      <c r="E93" s="20"/>
      <c r="F93" s="17" t="str">
        <f aca="false">IF(OR(D93="",E93="",E93=0),"",D93/E93)</f>
        <v/>
      </c>
    </row>
    <row r="94" customFormat="false" ht="15" hidden="false" customHeight="false" outlineLevel="0" collapsed="false">
      <c r="A94" s="20"/>
      <c r="B94" s="20"/>
      <c r="C94" s="20"/>
      <c r="D94" s="21"/>
      <c r="E94" s="20"/>
      <c r="F94" s="17" t="str">
        <f aca="false">IF(OR(D94="",E94="",E94=0),"",D94/E94)</f>
        <v/>
      </c>
    </row>
    <row r="95" customFormat="false" ht="15" hidden="false" customHeight="false" outlineLevel="0" collapsed="false">
      <c r="A95" s="20"/>
      <c r="B95" s="20"/>
      <c r="C95" s="20"/>
      <c r="D95" s="21"/>
      <c r="E95" s="20"/>
      <c r="F95" s="17" t="str">
        <f aca="false">IF(OR(D95="",E95="",E95=0),"",D95/E95)</f>
        <v/>
      </c>
    </row>
    <row r="96" customFormat="false" ht="15" hidden="false" customHeight="false" outlineLevel="0" collapsed="false">
      <c r="A96" s="20"/>
      <c r="B96" s="20"/>
      <c r="C96" s="20"/>
      <c r="D96" s="21"/>
      <c r="E96" s="20"/>
      <c r="F96" s="17" t="str">
        <f aca="false">IF(OR(D96="",E96="",E96=0),"",D96/E96)</f>
        <v/>
      </c>
    </row>
    <row r="97" customFormat="false" ht="15" hidden="false" customHeight="false" outlineLevel="0" collapsed="false">
      <c r="A97" s="20"/>
      <c r="B97" s="20"/>
      <c r="C97" s="20"/>
      <c r="D97" s="21"/>
      <c r="E97" s="20"/>
      <c r="F97" s="17" t="str">
        <f aca="false">IF(OR(D97="",E97="",E97=0),"",D97/E97)</f>
        <v/>
      </c>
    </row>
    <row r="98" customFormat="false" ht="15" hidden="false" customHeight="false" outlineLevel="0" collapsed="false">
      <c r="A98" s="20"/>
      <c r="B98" s="20"/>
      <c r="C98" s="20"/>
      <c r="D98" s="21"/>
      <c r="E98" s="20"/>
      <c r="F98" s="17" t="str">
        <f aca="false">IF(OR(D98="",E98="",E98=0),"",D98/E98)</f>
        <v/>
      </c>
    </row>
    <row r="99" customFormat="false" ht="15" hidden="false" customHeight="false" outlineLevel="0" collapsed="false">
      <c r="A99" s="20"/>
      <c r="B99" s="20"/>
      <c r="C99" s="20"/>
      <c r="D99" s="21"/>
      <c r="E99" s="20"/>
      <c r="F99" s="17" t="str">
        <f aca="false">IF(OR(D99="",E99="",E99=0),"",D99/E99)</f>
        <v/>
      </c>
    </row>
    <row r="100" customFormat="false" ht="15" hidden="false" customHeight="false" outlineLevel="0" collapsed="false">
      <c r="A100" s="20"/>
      <c r="B100" s="20"/>
      <c r="C100" s="20"/>
      <c r="D100" s="21"/>
      <c r="E100" s="20"/>
      <c r="F100" s="17" t="str">
        <f aca="false">IF(OR(D100="",E100="",E100=0),"",D100/E100)</f>
        <v/>
      </c>
    </row>
    <row r="101" customFormat="false" ht="15" hidden="false" customHeight="false" outlineLevel="0" collapsed="false">
      <c r="A101" s="20"/>
      <c r="B101" s="20"/>
      <c r="C101" s="20"/>
      <c r="D101" s="21"/>
      <c r="E101" s="20"/>
      <c r="F101" s="17" t="str">
        <f aca="false">IF(OR(D101="",E101="",E101=0),"",D101/E101)</f>
        <v/>
      </c>
    </row>
    <row r="102" customFormat="false" ht="15" hidden="false" customHeight="false" outlineLevel="0" collapsed="false">
      <c r="A102" s="20"/>
      <c r="B102" s="20"/>
      <c r="C102" s="20"/>
      <c r="D102" s="21"/>
      <c r="E102" s="20"/>
      <c r="F102" s="17" t="str">
        <f aca="false">IF(OR(D102="",E102="",E102=0),"",D102/E102)</f>
        <v/>
      </c>
    </row>
    <row r="103" customFormat="false" ht="15" hidden="false" customHeight="false" outlineLevel="0" collapsed="false">
      <c r="A103" s="20"/>
      <c r="B103" s="20"/>
      <c r="C103" s="20"/>
      <c r="D103" s="21"/>
      <c r="E103" s="20"/>
      <c r="F103" s="17" t="str">
        <f aca="false">IF(OR(D103="",E103="",E103=0),"",D103/E103)</f>
        <v/>
      </c>
    </row>
    <row r="104" customFormat="false" ht="15" hidden="false" customHeight="false" outlineLevel="0" collapsed="false">
      <c r="A104" s="20"/>
      <c r="B104" s="20"/>
      <c r="C104" s="20"/>
      <c r="D104" s="21"/>
      <c r="E104" s="20"/>
      <c r="F104" s="17" t="str">
        <f aca="false">IF(OR(D104="",E104="",E104=0),"",D104/E104)</f>
        <v/>
      </c>
    </row>
    <row r="105" customFormat="false" ht="15" hidden="false" customHeight="false" outlineLevel="0" collapsed="false">
      <c r="A105" s="20"/>
      <c r="B105" s="20"/>
      <c r="C105" s="20"/>
      <c r="D105" s="21"/>
      <c r="E105" s="20"/>
      <c r="F105" s="17" t="str">
        <f aca="false">IF(OR(D105="",E105="",E105=0),"",D105/E105)</f>
        <v/>
      </c>
    </row>
    <row r="106" customFormat="false" ht="15" hidden="false" customHeight="false" outlineLevel="0" collapsed="false">
      <c r="A106" s="20"/>
      <c r="B106" s="20"/>
      <c r="C106" s="20"/>
      <c r="D106" s="21"/>
      <c r="E106" s="20"/>
      <c r="F106" s="17" t="str">
        <f aca="false">IF(OR(D106="",E106="",E106=0),"",D106/E106)</f>
        <v/>
      </c>
    </row>
    <row r="107" customFormat="false" ht="15" hidden="false" customHeight="false" outlineLevel="0" collapsed="false">
      <c r="A107" s="20"/>
      <c r="B107" s="20"/>
      <c r="C107" s="20"/>
      <c r="D107" s="21"/>
      <c r="E107" s="20"/>
      <c r="F107" s="17" t="str">
        <f aca="false">IF(OR(D107="",E107="",E107=0),"",D107/E107)</f>
        <v/>
      </c>
    </row>
    <row r="108" customFormat="false" ht="15" hidden="false" customHeight="false" outlineLevel="0" collapsed="false">
      <c r="A108" s="20"/>
      <c r="B108" s="20"/>
      <c r="C108" s="20"/>
      <c r="D108" s="21"/>
      <c r="E108" s="20"/>
      <c r="F108" s="17" t="str">
        <f aca="false">IF(OR(D108="",E108="",E108=0),"",D108/E108)</f>
        <v/>
      </c>
    </row>
    <row r="109" customFormat="false" ht="15" hidden="false" customHeight="false" outlineLevel="0" collapsed="false">
      <c r="A109" s="20"/>
      <c r="B109" s="20"/>
      <c r="C109" s="20"/>
      <c r="D109" s="21"/>
      <c r="E109" s="20"/>
      <c r="F109" s="17" t="str">
        <f aca="false">IF(OR(D109="",E109="",E109=0),"",D109/E109)</f>
        <v/>
      </c>
    </row>
    <row r="110" customFormat="false" ht="15" hidden="false" customHeight="false" outlineLevel="0" collapsed="false">
      <c r="A110" s="20"/>
      <c r="B110" s="20"/>
      <c r="C110" s="20"/>
      <c r="D110" s="21"/>
      <c r="E110" s="20"/>
      <c r="F110" s="17" t="str">
        <f aca="false">IF(OR(D110="",E110="",E110=0),"",D110/E110)</f>
        <v/>
      </c>
    </row>
    <row r="111" customFormat="false" ht="15" hidden="false" customHeight="false" outlineLevel="0" collapsed="false">
      <c r="A111" s="20"/>
      <c r="B111" s="20"/>
      <c r="C111" s="20"/>
      <c r="D111" s="21"/>
      <c r="E111" s="20"/>
      <c r="F111" s="17" t="str">
        <f aca="false">IF(OR(D111="",E111="",E111=0),"",D111/E111)</f>
        <v/>
      </c>
    </row>
    <row r="112" customFormat="false" ht="15" hidden="false" customHeight="false" outlineLevel="0" collapsed="false">
      <c r="A112" s="20"/>
      <c r="B112" s="20"/>
      <c r="C112" s="20"/>
      <c r="D112" s="21"/>
      <c r="E112" s="20"/>
      <c r="F112" s="17" t="str">
        <f aca="false">IF(OR(D112="",E112="",E112=0),"",D112/E112)</f>
        <v/>
      </c>
    </row>
    <row r="113" customFormat="false" ht="15" hidden="false" customHeight="false" outlineLevel="0" collapsed="false">
      <c r="A113" s="20"/>
      <c r="B113" s="20"/>
      <c r="C113" s="20"/>
      <c r="D113" s="21"/>
      <c r="E113" s="20"/>
      <c r="F113" s="17" t="str">
        <f aca="false">IF(OR(D113="",E113="",E113=0),"",D113/E113)</f>
        <v/>
      </c>
    </row>
    <row r="114" customFormat="false" ht="15" hidden="false" customHeight="false" outlineLevel="0" collapsed="false">
      <c r="A114" s="20"/>
      <c r="B114" s="20"/>
      <c r="C114" s="20"/>
      <c r="D114" s="21"/>
      <c r="E114" s="20"/>
      <c r="F114" s="17" t="str">
        <f aca="false">IF(OR(D114="",E114="",E114=0),"",D114/E114)</f>
        <v/>
      </c>
    </row>
    <row r="115" customFormat="false" ht="15" hidden="false" customHeight="false" outlineLevel="0" collapsed="false">
      <c r="A115" s="20"/>
      <c r="B115" s="20"/>
      <c r="C115" s="20"/>
      <c r="D115" s="21"/>
      <c r="E115" s="20"/>
      <c r="F115" s="17" t="str">
        <f aca="false">IF(OR(D115="",E115="",E115=0),"",D115/E115)</f>
        <v/>
      </c>
    </row>
    <row r="116" customFormat="false" ht="15" hidden="false" customHeight="false" outlineLevel="0" collapsed="false">
      <c r="A116" s="20"/>
      <c r="B116" s="20"/>
      <c r="C116" s="20"/>
      <c r="D116" s="21"/>
      <c r="E116" s="20"/>
      <c r="F116" s="17" t="str">
        <f aca="false">IF(OR(D116="",E116="",E116=0),"",D116/E116)</f>
        <v/>
      </c>
    </row>
  </sheetData>
  <conditionalFormatting sqref="G5:G12">
    <cfRule type="expression" priority="2" aboveAverage="0" equalAverage="0" bottom="0" percent="0" rank="0" text="" dxfId="0">
      <formula>AND(ISNUMBER(G5),G5&lt;0)</formula>
    </cfRule>
  </conditionalFormatting>
  <conditionalFormatting sqref="H5:H12">
    <cfRule type="expression" priority="3" aboveAverage="0" equalAverage="0" bottom="0" percent="0" rank="0" text="" dxfId="0">
      <formula>H5="¡Pierdes plata!"</formula>
    </cfRule>
    <cfRule type="expression" priority="4" aboveAverage="0" equalAverage="0" bottom="0" percent="0" rank="0" text="" dxfId="1">
      <formula>H5="Te deja ganancia"</formula>
    </cfRule>
  </conditionalFormatting>
  <conditionalFormatting sqref="M5:M12">
    <cfRule type="expression" priority="5" aboveAverage="0" equalAverage="0" bottom="0" percent="0" rank="0" text="" dxfId="2">
      <formula>LEFT(M5,3)="Por"</formula>
    </cfRule>
    <cfRule type="expression" priority="6" aboveAverage="0" equalAverage="0" bottom="0" percent="0" rank="0" text="" dxfId="1">
      <formula>LEFT(M5,2)="Sí"</formula>
    </cfRule>
  </conditionalFormatting>
  <dataValidations count="3">
    <dataValidation allowBlank="true" errorStyle="stop" operator="between" showDropDown="false" showErrorMessage="false" showInputMessage="false" sqref="A17:A116" type="list">
      <formula1>$A$5:$A$12</formula1>
      <formula2>0</formula2>
    </dataValidation>
    <dataValidation allowBlank="true" errorStyle="stop" operator="between" showDropDown="false" showErrorMessage="false" showInputMessage="false" sqref="B17:B116" type="list">
      <formula1>"Materia prima,Mano de obra,Costo indirecto"</formula1>
      <formula2>0</formula2>
    </dataValidation>
    <dataValidation allowBlank="true" error="Escribe un número sin signos" errorStyle="stop" errorTitle="Valor" operator="greaterThanOrEqual" showDropDown="false" showErrorMessage="false" showInputMessage="false" sqref="F5:F12 J5:K12 D17:E116"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E82"/>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5" min="2" style="1" width="16"/>
    <col collapsed="false" customWidth="true" hidden="false" outlineLevel="0" max="6" min="6" style="1" width="4"/>
    <col collapsed="false" customWidth="true" hidden="false" outlineLevel="0" max="7" min="7" style="1" width="40"/>
  </cols>
  <sheetData>
    <row r="1" customFormat="false" ht="17.35" hidden="false" customHeight="false" outlineLevel="0" collapsed="false">
      <c r="A1" s="11" t="s">
        <v>58</v>
      </c>
    </row>
    <row r="2" customFormat="false" ht="15" hidden="false" customHeight="false" outlineLevel="0" collapsed="false">
      <c r="A2" s="26" t="s">
        <v>59</v>
      </c>
    </row>
    <row r="4" customFormat="false" ht="15" hidden="false" customHeight="false" outlineLevel="0" collapsed="false">
      <c r="A4" s="27" t="s">
        <v>60</v>
      </c>
    </row>
    <row r="5" customFormat="false" ht="21.75" hidden="false" customHeight="true" outlineLevel="0" collapsed="false">
      <c r="A5" s="15" t="s">
        <v>61</v>
      </c>
      <c r="B5" s="15" t="s">
        <v>62</v>
      </c>
    </row>
    <row r="6" customFormat="false" ht="15" hidden="false" customHeight="false" outlineLevel="0" collapsed="false">
      <c r="A6" s="16" t="s">
        <v>63</v>
      </c>
      <c r="B6" s="18" t="n">
        <v>80000</v>
      </c>
    </row>
    <row r="7" customFormat="false" ht="15" hidden="false" customHeight="false" outlineLevel="0" collapsed="false">
      <c r="A7" s="16" t="s">
        <v>64</v>
      </c>
      <c r="B7" s="18" t="n">
        <v>30000</v>
      </c>
    </row>
    <row r="8" customFormat="false" ht="15" hidden="false" customHeight="false" outlineLevel="0" collapsed="false">
      <c r="A8" s="16" t="s">
        <v>65</v>
      </c>
      <c r="B8" s="18" t="n">
        <v>40000</v>
      </c>
    </row>
    <row r="9" customFormat="false" ht="15" hidden="false" customHeight="false" outlineLevel="0" collapsed="false">
      <c r="A9" s="16" t="s">
        <v>66</v>
      </c>
      <c r="B9" s="18" t="n">
        <v>30000</v>
      </c>
    </row>
    <row r="10" customFormat="false" ht="15" hidden="false" customHeight="false" outlineLevel="0" collapsed="false">
      <c r="A10" s="20"/>
      <c r="B10" s="21"/>
    </row>
    <row r="11" customFormat="false" ht="15" hidden="false" customHeight="false" outlineLevel="0" collapsed="false">
      <c r="A11" s="20"/>
      <c r="B11" s="21"/>
    </row>
    <row r="12" customFormat="false" ht="15" hidden="false" customHeight="false" outlineLevel="0" collapsed="false">
      <c r="A12" s="20"/>
      <c r="B12" s="21"/>
    </row>
    <row r="13" customFormat="false" ht="15" hidden="false" customHeight="false" outlineLevel="0" collapsed="false">
      <c r="A13" s="20"/>
      <c r="B13" s="21"/>
    </row>
    <row r="14" customFormat="false" ht="15" hidden="false" customHeight="false" outlineLevel="0" collapsed="false">
      <c r="A14" s="28" t="s">
        <v>67</v>
      </c>
      <c r="B14" s="29" t="n">
        <f aca="false">SUM(B6:B13)</f>
        <v>180000</v>
      </c>
    </row>
    <row r="16" customFormat="false" ht="15" hidden="false" customHeight="false" outlineLevel="0" collapsed="false">
      <c r="A16" s="27" t="s">
        <v>68</v>
      </c>
    </row>
    <row r="17" customFormat="false" ht="15" hidden="false" customHeight="false" outlineLevel="0" collapsed="false">
      <c r="A17" s="1" t="s">
        <v>69</v>
      </c>
      <c r="B17" s="16" t="n">
        <v>20</v>
      </c>
    </row>
    <row r="18" customFormat="false" ht="15" hidden="false" customHeight="false" outlineLevel="0" collapsed="false">
      <c r="A18" s="1" t="s">
        <v>70</v>
      </c>
      <c r="B18" s="16" t="n">
        <v>5</v>
      </c>
    </row>
    <row r="19" customFormat="false" ht="15" hidden="false" customHeight="false" outlineLevel="0" collapsed="false">
      <c r="A19" s="1" t="s">
        <v>71</v>
      </c>
      <c r="B19" s="30" t="n">
        <f aca="false">IF(B18=0,0,B17/B18)</f>
        <v>4</v>
      </c>
    </row>
    <row r="21" customFormat="false" ht="15" hidden="false" customHeight="false" outlineLevel="0" collapsed="false">
      <c r="A21" s="27" t="s">
        <v>72</v>
      </c>
    </row>
    <row r="22" customFormat="false" ht="31.5" hidden="false" customHeight="true" outlineLevel="0" collapsed="false">
      <c r="A22" s="15" t="s">
        <v>19</v>
      </c>
      <c r="B22" s="15" t="s">
        <v>73</v>
      </c>
      <c r="C22" s="15" t="s">
        <v>74</v>
      </c>
      <c r="D22" s="15" t="s">
        <v>75</v>
      </c>
      <c r="E22" s="15" t="s">
        <v>76</v>
      </c>
    </row>
    <row r="23" customFormat="false" ht="15" hidden="false" customHeight="false" outlineLevel="0" collapsed="false">
      <c r="A23" s="31" t="str">
        <f aca="false">IF('Costeo por producto'!A5="","",'Costeo por producto'!A5)</f>
        <v>Vaso pequeño</v>
      </c>
      <c r="B23" s="16" t="n">
        <v>32</v>
      </c>
      <c r="C23" s="17" t="n">
        <f aca="false">IF(A23="","",IF('Costeo por producto'!K5="",'Costeo por producto'!F5,'Costeo por producto'!K5))</f>
        <v>2000</v>
      </c>
      <c r="D23" s="17" t="n">
        <f aca="false">IF(OR(A23="",C23=""),"",C23-'Costeo por producto'!E5)</f>
        <v>450</v>
      </c>
      <c r="E23" s="17" t="n">
        <f aca="false">IF(OR(B23="",D23=""),0,B23*D23)</f>
        <v>14400</v>
      </c>
    </row>
    <row r="24" customFormat="false" ht="15" hidden="false" customHeight="false" outlineLevel="0" collapsed="false">
      <c r="A24" s="31" t="str">
        <f aca="false">IF('Costeo por producto'!A6="","",'Costeo por producto'!A6)</f>
        <v>Vaso grande</v>
      </c>
      <c r="B24" s="16" t="n">
        <v>8</v>
      </c>
      <c r="C24" s="17" t="n">
        <f aca="false">IF(A24="","",IF('Costeo por producto'!K6="",'Costeo por producto'!F6,'Costeo por producto'!K6))</f>
        <v>4000</v>
      </c>
      <c r="D24" s="17" t="n">
        <f aca="false">IF(OR(A24="",C24=""),"",C24-'Costeo por producto'!E6)</f>
        <v>900</v>
      </c>
      <c r="E24" s="17" t="n">
        <f aca="false">IF(OR(B24="",D24=""),0,B24*D24)</f>
        <v>7200</v>
      </c>
    </row>
    <row r="25" customFormat="false" ht="15" hidden="false" customHeight="false" outlineLevel="0" collapsed="false">
      <c r="A25" s="31" t="str">
        <f aca="false">IF('Costeo por producto'!A7="","",'Costeo por producto'!A7)</f>
        <v/>
      </c>
      <c r="B25" s="20"/>
      <c r="C25" s="17" t="str">
        <f aca="false">IF(A25="","",IF('Costeo por producto'!K7="",'Costeo por producto'!F7,'Costeo por producto'!K7))</f>
        <v/>
      </c>
      <c r="D25" s="17" t="str">
        <f aca="false">IF(OR(A25="",C25=""),"",C25-'Costeo por producto'!E7)</f>
        <v/>
      </c>
      <c r="E25" s="17" t="n">
        <f aca="false">IF(OR(B25="",D25=""),0,B25*D25)</f>
        <v>0</v>
      </c>
    </row>
    <row r="26" customFormat="false" ht="15" hidden="false" customHeight="false" outlineLevel="0" collapsed="false">
      <c r="A26" s="31" t="str">
        <f aca="false">IF('Costeo por producto'!A8="","",'Costeo por producto'!A8)</f>
        <v/>
      </c>
      <c r="B26" s="20"/>
      <c r="C26" s="17" t="str">
        <f aca="false">IF(A26="","",IF('Costeo por producto'!K8="",'Costeo por producto'!F8,'Costeo por producto'!K8))</f>
        <v/>
      </c>
      <c r="D26" s="17" t="str">
        <f aca="false">IF(OR(A26="",C26=""),"",C26-'Costeo por producto'!E8)</f>
        <v/>
      </c>
      <c r="E26" s="17" t="n">
        <f aca="false">IF(OR(B26="",D26=""),0,B26*D26)</f>
        <v>0</v>
      </c>
    </row>
    <row r="27" customFormat="false" ht="15" hidden="false" customHeight="false" outlineLevel="0" collapsed="false">
      <c r="A27" s="31" t="str">
        <f aca="false">IF('Costeo por producto'!A9="","",'Costeo por producto'!A9)</f>
        <v/>
      </c>
      <c r="B27" s="20"/>
      <c r="C27" s="17" t="str">
        <f aca="false">IF(A27="","",IF('Costeo por producto'!K9="",'Costeo por producto'!F9,'Costeo por producto'!K9))</f>
        <v/>
      </c>
      <c r="D27" s="17" t="str">
        <f aca="false">IF(OR(A27="",C27=""),"",C27-'Costeo por producto'!E9)</f>
        <v/>
      </c>
      <c r="E27" s="17" t="n">
        <f aca="false">IF(OR(B27="",D27=""),0,B27*D27)</f>
        <v>0</v>
      </c>
    </row>
    <row r="28" customFormat="false" ht="15" hidden="false" customHeight="false" outlineLevel="0" collapsed="false">
      <c r="A28" s="31" t="str">
        <f aca="false">IF('Costeo por producto'!A10="","",'Costeo por producto'!A10)</f>
        <v/>
      </c>
      <c r="B28" s="20"/>
      <c r="C28" s="17" t="str">
        <f aca="false">IF(A28="","",IF('Costeo por producto'!K10="",'Costeo por producto'!F10,'Costeo por producto'!K10))</f>
        <v/>
      </c>
      <c r="D28" s="17" t="str">
        <f aca="false">IF(OR(A28="",C28=""),"",C28-'Costeo por producto'!E10)</f>
        <v/>
      </c>
      <c r="E28" s="17" t="n">
        <f aca="false">IF(OR(B28="",D28=""),0,B28*D28)</f>
        <v>0</v>
      </c>
    </row>
    <row r="29" customFormat="false" ht="15" hidden="false" customHeight="false" outlineLevel="0" collapsed="false">
      <c r="A29" s="31" t="str">
        <f aca="false">IF('Costeo por producto'!A11="","",'Costeo por producto'!A11)</f>
        <v/>
      </c>
      <c r="B29" s="20"/>
      <c r="C29" s="17" t="str">
        <f aca="false">IF(A29="","",IF('Costeo por producto'!K11="",'Costeo por producto'!F11,'Costeo por producto'!K11))</f>
        <v/>
      </c>
      <c r="D29" s="17" t="str">
        <f aca="false">IF(OR(A29="",C29=""),"",C29-'Costeo por producto'!E11)</f>
        <v/>
      </c>
      <c r="E29" s="17" t="n">
        <f aca="false">IF(OR(B29="",D29=""),0,B29*D29)</f>
        <v>0</v>
      </c>
    </row>
    <row r="30" customFormat="false" ht="15" hidden="false" customHeight="false" outlineLevel="0" collapsed="false">
      <c r="A30" s="31" t="str">
        <f aca="false">IF('Costeo por producto'!A12="","",'Costeo por producto'!A12)</f>
        <v/>
      </c>
      <c r="B30" s="20"/>
      <c r="C30" s="17" t="str">
        <f aca="false">IF(A30="","",IF('Costeo por producto'!K12="",'Costeo por producto'!F12,'Costeo por producto'!K12))</f>
        <v/>
      </c>
      <c r="D30" s="17" t="str">
        <f aca="false">IF(OR(A30="",C30=""),"",C30-'Costeo por producto'!E12)</f>
        <v/>
      </c>
      <c r="E30" s="17" t="n">
        <f aca="false">IF(OR(B30="",D30=""),0,B30*D30)</f>
        <v>0</v>
      </c>
    </row>
    <row r="31" customFormat="false" ht="15" hidden="false" customHeight="false" outlineLevel="0" collapsed="false">
      <c r="A31" s="28" t="s">
        <v>77</v>
      </c>
      <c r="B31" s="28" t="n">
        <f aca="false">SUM(B23:B30)</f>
        <v>40</v>
      </c>
      <c r="C31" s="29" t="n">
        <f aca="false">IF(B31=0,0,SUMPRODUCT(B23:B30,C23:C30)/B31)</f>
        <v>2400</v>
      </c>
      <c r="D31" s="28"/>
      <c r="E31" s="29" t="n">
        <f aca="false">SUM(E23:E30)</f>
        <v>21600</v>
      </c>
      <c r="G31" s="14" t="s">
        <v>78</v>
      </c>
    </row>
    <row r="33" customFormat="false" ht="15" hidden="false" customHeight="false" outlineLevel="0" collapsed="false">
      <c r="A33" s="27" t="s">
        <v>79</v>
      </c>
    </row>
    <row r="34" customFormat="false" ht="15" hidden="false" customHeight="false" outlineLevel="0" collapsed="false">
      <c r="A34" s="31" t="s">
        <v>80</v>
      </c>
      <c r="B34" s="32" t="n">
        <f aca="false">IF(B31=0,0,E31/B31)</f>
        <v>540</v>
      </c>
    </row>
    <row r="35" customFormat="false" ht="15" hidden="false" customHeight="false" outlineLevel="0" collapsed="false">
      <c r="A35" s="31" t="s">
        <v>81</v>
      </c>
      <c r="B35" s="33" t="n">
        <f aca="false">IF(B34&lt;=0,0,B14/B34)</f>
        <v>333.333333333333</v>
      </c>
    </row>
    <row r="36" customFormat="false" ht="15" hidden="false" customHeight="false" outlineLevel="0" collapsed="false">
      <c r="A36" s="28" t="s">
        <v>82</v>
      </c>
      <c r="B36" s="34" t="n">
        <f aca="false">ROUNDUP(B35,0)</f>
        <v>334</v>
      </c>
    </row>
    <row r="37" customFormat="false" ht="15" hidden="false" customHeight="false" outlineLevel="0" collapsed="false">
      <c r="A37" s="28" t="s">
        <v>83</v>
      </c>
      <c r="B37" s="34" t="n">
        <f aca="false">IF(B19=0,0,ROUNDUP(B35/B19,0))</f>
        <v>84</v>
      </c>
    </row>
    <row r="38" customFormat="false" ht="15" hidden="false" customHeight="false" outlineLevel="0" collapsed="false">
      <c r="A38" s="28" t="s">
        <v>84</v>
      </c>
      <c r="B38" s="34" t="n">
        <f aca="false">IF(B17=0,0,ROUNDUP(B35/B17,0))</f>
        <v>17</v>
      </c>
    </row>
    <row r="39" customFormat="false" ht="15" hidden="false" customHeight="false" outlineLevel="0" collapsed="false">
      <c r="A39" s="31" t="s">
        <v>85</v>
      </c>
      <c r="B39" s="32" t="n">
        <f aca="false">B35*C31</f>
        <v>800000</v>
      </c>
    </row>
    <row r="40" customFormat="false" ht="15" hidden="false" customHeight="false" outlineLevel="0" collapsed="false">
      <c r="A40" s="31" t="s">
        <v>86</v>
      </c>
      <c r="B40" s="35" t="n">
        <f aca="false">B31</f>
        <v>40</v>
      </c>
    </row>
    <row r="41" customFormat="false" ht="15" hidden="false" customHeight="false" outlineLevel="0" collapsed="false">
      <c r="A41" s="31" t="s">
        <v>87</v>
      </c>
      <c r="B41" s="36" t="str">
        <f aca="false">IF(B31=0,"Escribe tus unidades",IF(B31&gt;=B38,"Por encima del punto de equilibrio","Por debajo del punto de equilibrio"))</f>
        <v>Por encima del punto de equilibrio</v>
      </c>
      <c r="C41" s="36"/>
      <c r="D41" s="36"/>
    </row>
  </sheetData>
  <mergeCells count="1">
    <mergeCell ref="B41:D41"/>
  </mergeCells>
  <conditionalFormatting sqref="B41">
    <cfRule type="expression" priority="2" aboveAverage="0" equalAverage="0" bottom="0" percent="0" rank="0" text="" dxfId="2">
      <formula>LEFT(B41,9)="Por debaj"</formula>
    </cfRule>
    <cfRule type="expression" priority="3" aboveAverage="0" equalAverage="0" bottom="0" percent="0" rank="0" text="" dxfId="1">
      <formula>LEFT(B41,9)="Por encim"</formula>
    </cfRule>
  </conditionalFormatting>
  <dataValidations count="1">
    <dataValidation allowBlank="true" errorStyle="stop" operator="greaterThanOrEqual" showDropDown="false" showErrorMessage="false" showInputMessage="false" sqref="B6:B13 B17:B18 B23:B30"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2026-09-27T11:33:40Z</dcterms:created>
  <dc:creator>openpyxl</dc:creator>
  <dc:description/>
  <dc:language>en-US</dc:language>
  <cp:lastModifiedBy/>
  <dcterms:modified xsi:type="dcterms:W3CDTF">2026-09-27T11:33:40Z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